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verview" sheetId="1" state="visible" r:id="rId1"/>
    <sheet xmlns:r="http://schemas.openxmlformats.org/officeDocument/2006/relationships" name="Feature Checklist" sheetId="2" state="visible" r:id="rId2"/>
    <sheet xmlns:r="http://schemas.openxmlformats.org/officeDocument/2006/relationships" name="Feature Values" sheetId="3" state="visible" r:id="rId3"/>
    <sheet xmlns:r="http://schemas.openxmlformats.org/officeDocument/2006/relationships" name="Normalized Values" sheetId="4" state="visible" r:id="rId4"/>
    <sheet xmlns:r="http://schemas.openxmlformats.org/officeDocument/2006/relationships" name="Diversity Summary" sheetId="5" state="visible" r:id="rId5"/>
    <sheet xmlns:r="http://schemas.openxmlformats.org/officeDocument/2006/relationships" name="Scraping Notes" sheetId="6" state="visible" r:id="rId6"/>
  </sheets>
  <definedNames>
    <definedName name="_xlnm._FilterDatabase" localSheetId="0" hidden="1">'Overview'!$A$1:$H$22</definedName>
  </definedNames>
  <calcPr calcId="124519" fullCalcOnLoad="1" refMode="A1" iterate="0" iterateCount="100" iterateDelta="0.0001"/>
</workbook>
</file>

<file path=xl/styles.xml><?xml version="1.0" encoding="utf-8"?>
<styleSheet xmlns="http://schemas.openxmlformats.org/spreadsheetml/2006/main">
  <numFmts count="0"/>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FFFFFF"/>
      <sz val="9"/>
    </font>
    <font>
      <name val="Arial"/>
      <charset val="1"/>
      <family val="0"/>
      <b val="1"/>
      <sz val="10"/>
    </font>
    <font>
      <name val="Arial"/>
      <charset val="1"/>
      <family val="0"/>
      <b val="1"/>
      <color rgb="FFFFFFFF"/>
      <sz val="10"/>
    </font>
    <font>
      <name val="Arial"/>
      <charset val="1"/>
      <family val="0"/>
      <b val="1"/>
      <i val="1"/>
      <color rgb="FF7030A0"/>
      <sz val="9"/>
    </font>
    <font>
      <name val="Arial"/>
      <charset val="1"/>
      <family val="0"/>
      <i val="1"/>
      <color rgb="FF7030A0"/>
      <sz val="9"/>
    </font>
    <font>
      <name val="Arial"/>
      <charset val="1"/>
      <family val="0"/>
      <color rgb="FF999999"/>
      <sz val="10"/>
    </font>
    <font>
      <name val="Arial"/>
      <charset val="1"/>
      <family val="0"/>
      <b val="1"/>
      <color rgb="FFFFFFFF"/>
      <sz val="12"/>
    </font>
    <font>
      <name val="Arial"/>
      <charset val="1"/>
      <family val="0"/>
      <b val="1"/>
      <color rgb="FFFF0000"/>
      <sz val="10"/>
    </font>
    <font>
      <name val="Arial"/>
      <charset val="1"/>
      <family val="0"/>
      <color rgb="FFFF0000"/>
      <sz val="10"/>
    </font>
  </fonts>
  <fills count="10">
    <fill>
      <patternFill/>
    </fill>
    <fill>
      <patternFill patternType="gray125"/>
    </fill>
    <fill>
      <patternFill patternType="solid">
        <fgColor rgb="FF2F5496"/>
        <bgColor rgb="FF4472C4"/>
      </patternFill>
    </fill>
    <fill>
      <patternFill patternType="solid">
        <fgColor rgb="FFE2EFDA"/>
        <bgColor rgb="FFDDEBF7"/>
      </patternFill>
    </fill>
    <fill>
      <patternFill patternType="solid">
        <fgColor rgb="FFDDEBF7"/>
        <bgColor rgb="FFE2EFDA"/>
      </patternFill>
    </fill>
    <fill>
      <patternFill patternType="solid">
        <fgColor rgb="FFFCE4D6"/>
        <bgColor rgb="FFE2EFDA"/>
      </patternFill>
    </fill>
    <fill>
      <patternFill patternType="solid">
        <fgColor rgb="FF4472C4"/>
        <bgColor rgb="FF666699"/>
      </patternFill>
    </fill>
    <fill>
      <patternFill patternType="solid">
        <fgColor rgb="FFC6EFCE"/>
        <bgColor rgb="FFE2EFDA"/>
      </patternFill>
    </fill>
    <fill>
      <patternFill patternType="solid">
        <fgColor rgb="FFFFC7CE"/>
        <bgColor rgb="FFFCE4D6"/>
      </patternFill>
    </fill>
    <fill>
      <patternFill patternType="solid">
        <fgColor rgb="FF7030A0"/>
        <bgColor rgb="FF993366"/>
      </patternFill>
    </fill>
  </fills>
  <borders count="2">
    <border>
      <left/>
      <right/>
      <top/>
      <bottom/>
      <diagonal/>
    </border>
    <border>
      <left style="thin"/>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9">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5" fillId="5" borderId="1" applyAlignment="1" pivotButton="0" quotePrefix="0" xfId="0">
      <alignment horizontal="general" vertical="top" wrapText="1"/>
    </xf>
    <xf numFmtId="0" fontId="4" fillId="2" borderId="1" applyAlignment="1" pivotButton="0" quotePrefix="0" xfId="0">
      <alignment horizontal="general" vertical="bottom"/>
    </xf>
    <xf numFmtId="0" fontId="6" fillId="6" borderId="1" applyAlignment="1" pivotButton="0" quotePrefix="0" xfId="0">
      <alignment horizontal="center" vertical="bottom" textRotation="90"/>
    </xf>
    <xf numFmtId="0" fontId="7" fillId="0" borderId="1" applyAlignment="1" pivotButton="0" quotePrefix="0" xfId="0">
      <alignment horizontal="general" vertical="bottom"/>
    </xf>
    <xf numFmtId="0" fontId="5" fillId="3" borderId="1" applyAlignment="1" pivotButton="0" quotePrefix="0" xfId="0">
      <alignment horizontal="general" vertical="bottom"/>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7" fillId="0" borderId="1" applyAlignment="1" pivotButton="0" quotePrefix="0" xfId="0">
      <alignment horizontal="center" vertical="center" wrapText="1"/>
    </xf>
    <xf numFmtId="0" fontId="5" fillId="4" borderId="1" applyAlignment="1" pivotButton="0" quotePrefix="0" xfId="0">
      <alignment horizontal="general" vertical="bottom"/>
    </xf>
    <xf numFmtId="0" fontId="5" fillId="5" borderId="1" applyAlignment="1" pivotButton="0" quotePrefix="0" xfId="0">
      <alignment horizontal="general" vertical="bottom"/>
    </xf>
    <xf numFmtId="0" fontId="0" fillId="2" borderId="1" applyAlignment="1" pivotButton="0" quotePrefix="0" xfId="0">
      <alignment horizontal="general" vertical="bottom"/>
    </xf>
    <xf numFmtId="0" fontId="8" fillId="2"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9" borderId="1" applyAlignment="1" pivotButton="0" quotePrefix="0" xfId="0">
      <alignment horizontal="center" vertical="center" wrapText="1"/>
    </xf>
    <xf numFmtId="0" fontId="9" fillId="0" borderId="1" applyAlignment="1" pivotButton="0" quotePrefix="0" xfId="0">
      <alignment horizontal="general" vertical="bottom"/>
    </xf>
    <xf numFmtId="0" fontId="10"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5" fillId="0" borderId="1" applyAlignment="1" pivotButton="0" quotePrefix="0" xfId="0">
      <alignment horizontal="right" vertical="top"/>
    </xf>
    <xf numFmtId="0" fontId="12" fillId="2" borderId="1" applyAlignment="1" pivotButton="0" quotePrefix="0" xfId="0">
      <alignment horizontal="general" vertical="bottom"/>
    </xf>
    <xf numFmtId="0" fontId="13" fillId="8" borderId="1" applyAlignment="1" pivotButton="0" quotePrefix="0" xfId="0">
      <alignment horizontal="general" vertical="bottom"/>
    </xf>
    <xf numFmtId="0" fontId="5" fillId="8" borderId="1" applyAlignment="1" pivotButton="0" quotePrefix="0" xfId="0">
      <alignment horizontal="general" vertical="bottom"/>
    </xf>
    <xf numFmtId="0" fontId="14" fillId="8" borderId="1" applyAlignment="1" pivotButton="0" quotePrefix="0" xfId="0">
      <alignment horizontal="general" vertical="bottom"/>
    </xf>
    <xf numFmtId="0" fontId="5" fillId="8"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5" fillId="5" borderId="1" applyAlignment="1" pivotButton="0" quotePrefix="0" xfId="0">
      <alignment horizontal="general" vertical="top" wrapText="1"/>
    </xf>
    <xf numFmtId="0" fontId="4" fillId="2" borderId="1" applyAlignment="1" pivotButton="0" quotePrefix="0" xfId="0">
      <alignment horizontal="general" vertical="bottom"/>
    </xf>
    <xf numFmtId="0" fontId="6" fillId="6" borderId="1" applyAlignment="1" pivotButton="0" quotePrefix="0" xfId="0">
      <alignment horizontal="center" vertical="bottom" textRotation="90"/>
    </xf>
    <xf numFmtId="0" fontId="7" fillId="0" borderId="1" applyAlignment="1" pivotButton="0" quotePrefix="0" xfId="0">
      <alignment horizontal="general" vertical="bottom"/>
    </xf>
    <xf numFmtId="0" fontId="5" fillId="3" borderId="1" applyAlignment="1" pivotButton="0" quotePrefix="0" xfId="0">
      <alignment horizontal="general" vertical="bottom"/>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7" fillId="0" borderId="1" applyAlignment="1" pivotButton="0" quotePrefix="0" xfId="0">
      <alignment horizontal="center" vertical="center" wrapText="1"/>
    </xf>
    <xf numFmtId="0" fontId="5" fillId="4" borderId="1" applyAlignment="1" pivotButton="0" quotePrefix="0" xfId="0">
      <alignment horizontal="general" vertical="bottom"/>
    </xf>
    <xf numFmtId="0" fontId="5" fillId="5" borderId="1" applyAlignment="1" pivotButton="0" quotePrefix="0" xfId="0">
      <alignment horizontal="general" vertical="bottom"/>
    </xf>
    <xf numFmtId="0" fontId="0" fillId="2" borderId="1" applyAlignment="1" pivotButton="0" quotePrefix="0" xfId="0">
      <alignment horizontal="general" vertical="bottom"/>
    </xf>
    <xf numFmtId="0" fontId="8" fillId="2"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9" borderId="1" applyAlignment="1" pivotButton="0" quotePrefix="0" xfId="0">
      <alignment horizontal="center" vertical="center" wrapText="1"/>
    </xf>
    <xf numFmtId="0" fontId="9" fillId="0" borderId="1" applyAlignment="1" pivotButton="0" quotePrefix="0" xfId="0">
      <alignment horizontal="general" vertical="bottom"/>
    </xf>
    <xf numFmtId="0" fontId="10"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5" fillId="0" borderId="1" applyAlignment="1" pivotButton="0" quotePrefix="0" xfId="0">
      <alignment horizontal="right" vertical="top"/>
    </xf>
    <xf numFmtId="0" fontId="12" fillId="2" borderId="1" applyAlignment="1" pivotButton="0" quotePrefix="0" xfId="0">
      <alignment horizontal="general" vertical="bottom"/>
    </xf>
    <xf numFmtId="0" fontId="13" fillId="8" borderId="1" applyAlignment="1" pivotButton="0" quotePrefix="0" xfId="0">
      <alignment horizontal="general" vertical="bottom"/>
    </xf>
    <xf numFmtId="0" fontId="5" fillId="8" borderId="1" applyAlignment="1" pivotButton="0" quotePrefix="0" xfId="0">
      <alignment horizontal="general" vertical="bottom"/>
    </xf>
    <xf numFmtId="0" fontId="14" fillId="8" borderId="1" applyAlignment="1" pivotButton="0" quotePrefix="0" xfId="0">
      <alignment horizontal="general" vertical="bottom"/>
    </xf>
    <xf numFmtId="0" fontId="5" fillId="8"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2F5496"/>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E2EFDA"/>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CE4D6"/>
      <rgbColor rgb="FF99CCFF"/>
      <rgbColor rgb="FFFF99CC"/>
      <rgbColor rgb="FFCC99FF"/>
      <rgbColor rgb="FFFFC7CE"/>
      <rgbColor rgb="FF4472C4"/>
      <rgbColor rgb="FF33CCCC"/>
      <rgbColor rgb="FF99CC00"/>
      <rgbColor rgb="FFFFC000"/>
      <rgbColor rgb="FFFF9900"/>
      <rgbColor rgb="FFED7D31"/>
      <rgbColor rgb="FF666699"/>
      <rgbColor rgb="FF999999"/>
      <rgbColor rgb="FF003366"/>
      <rgbColor rgb="FF70AD47"/>
      <rgbColor rgb="FF003300"/>
      <rgbColor rgb="FF333300"/>
      <rgbColor rgb="FF993300"/>
      <rgbColor rgb="FF993366"/>
      <rgbColor rgb="FF2F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2F5496"/>
    <outlinePr summaryBelow="1" summaryRight="1"/>
    <pageSetUpPr fitToPage="0"/>
  </sheetPr>
  <dimension ref="A1:H2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4" customWidth="1" style="29" min="1" max="1"/>
    <col width="20" customWidth="1" style="29" min="2" max="2"/>
    <col width="28" customWidth="1" style="29" min="3" max="3"/>
    <col width="10" customWidth="1" style="29" min="4" max="4"/>
    <col width="55" customWidth="1" style="29" min="5" max="5"/>
    <col width="12" customWidth="1" style="29" min="6" max="7"/>
    <col width="10" customWidth="1" style="29" min="8" max="8"/>
  </cols>
  <sheetData>
    <row r="1" ht="26.85" customHeight="1" s="30">
      <c r="A1" s="31" t="inlineStr">
        <is>
          <t>#</t>
        </is>
      </c>
      <c r="B1" s="31" t="inlineStr">
        <is>
          <t>Company</t>
        </is>
      </c>
      <c r="C1" s="31" t="inlineStr">
        <is>
          <t>URL</t>
        </is>
      </c>
      <c r="D1" s="31" t="inlineStr">
        <is>
          <t>Stage</t>
        </is>
      </c>
      <c r="E1" s="31" t="inlineStr">
        <is>
          <t>Main Product</t>
        </is>
      </c>
      <c r="F1" s="31" t="inlineStr">
        <is>
          <t>Verified Features</t>
        </is>
      </c>
      <c r="G1" s="31" t="inlineStr">
        <is>
          <t>Complexity</t>
        </is>
      </c>
      <c r="H1" s="31" t="inlineStr">
        <is>
          <t>Non-US?</t>
        </is>
      </c>
    </row>
    <row r="2" ht="23.85" customHeight="1" s="30">
      <c r="A2" s="32" t="n">
        <v>1</v>
      </c>
      <c r="B2" s="32" t="inlineStr">
        <is>
          <t>Resend</t>
        </is>
      </c>
      <c r="C2" s="32" t="inlineStr">
        <is>
          <t>https://resend.com</t>
        </is>
      </c>
      <c r="D2" s="33" t="inlineStr">
        <is>
          <t>Early</t>
        </is>
      </c>
      <c r="E2" s="32" t="inlineStr">
        <is>
          <t>Email API for developers - 'Deliver transactional and marketing emails at scale'</t>
        </is>
      </c>
      <c r="F2" s="32" t="n">
        <v>14</v>
      </c>
      <c r="G2" s="32" t="inlineStr">
        <is>
          <t>Medium</t>
        </is>
      </c>
      <c r="H2" s="32" t="n"/>
    </row>
    <row r="3" ht="23.85" customHeight="1" s="30">
      <c r="A3" s="32" t="n">
        <v>2</v>
      </c>
      <c r="B3" s="32" t="inlineStr">
        <is>
          <t>Mintlify</t>
        </is>
      </c>
      <c r="C3" s="32" t="inlineStr">
        <is>
          <t>https://mintlify.com</t>
        </is>
      </c>
      <c r="D3" s="33" t="inlineStr">
        <is>
          <t>Early</t>
        </is>
      </c>
      <c r="E3" s="32" t="inlineStr">
        <is>
          <t>The Intelligent Knowledge Platform - documentation built for both humans and AI</t>
        </is>
      </c>
      <c r="F3" s="32" t="n">
        <v>13</v>
      </c>
      <c r="G3" s="32" t="inlineStr">
        <is>
          <t>Medium</t>
        </is>
      </c>
      <c r="H3" s="32" t="n"/>
    </row>
    <row r="4" ht="23.85" customHeight="1" s="30">
      <c r="A4" s="32" t="n">
        <v>3</v>
      </c>
      <c r="B4" s="32" t="inlineStr">
        <is>
          <t>Cal.com</t>
        </is>
      </c>
      <c r="C4" s="32" t="inlineStr">
        <is>
          <t>https://cal.com</t>
        </is>
      </c>
      <c r="D4" s="33" t="inlineStr">
        <is>
          <t>Early</t>
        </is>
      </c>
      <c r="E4" s="32" t="inlineStr">
        <is>
          <t xml:space="preserve">Open scheduling infrastructure - 'A fully customizable scheduling software for individuals, businesses taking calls and </t>
        </is>
      </c>
      <c r="F4" s="32" t="n">
        <v>14</v>
      </c>
      <c r="G4" s="32" t="inlineStr">
        <is>
          <t>Complex</t>
        </is>
      </c>
      <c r="H4" s="32" t="inlineStr">
        <is>
          <t>Yes</t>
        </is>
      </c>
    </row>
    <row r="5" ht="23.85" customHeight="1" s="30">
      <c r="A5" s="32" t="n">
        <v>4</v>
      </c>
      <c r="B5" s="32" t="inlineStr">
        <is>
          <t>Loops</t>
        </is>
      </c>
      <c r="C5" s="32" t="inlineStr">
        <is>
          <t>https://loops.so</t>
        </is>
      </c>
      <c r="D5" s="33" t="inlineStr">
        <is>
          <t>Early</t>
        </is>
      </c>
      <c r="E5" s="32" t="inlineStr">
        <is>
          <t>Email platform for SaaS - 'Send your product, marketing, and transactional email with Loops'</t>
        </is>
      </c>
      <c r="F5" s="32" t="n">
        <v>12</v>
      </c>
      <c r="G5" s="32" t="inlineStr">
        <is>
          <t>Simple</t>
        </is>
      </c>
      <c r="H5" s="32" t="n"/>
    </row>
    <row r="6" ht="23.85" customHeight="1" s="30">
      <c r="A6" s="32" t="n">
        <v>5</v>
      </c>
      <c r="B6" s="32" t="inlineStr">
        <is>
          <t>Ashby</t>
        </is>
      </c>
      <c r="C6" s="32" t="inlineStr">
        <is>
          <t>https://www.ashbyhq.com</t>
        </is>
      </c>
      <c r="D6" s="33" t="inlineStr">
        <is>
          <t>Early</t>
        </is>
      </c>
      <c r="E6" s="32" t="inlineStr">
        <is>
          <t>All-in-one recruiting platform (ATS) - 'The all-in-one recruiting platform that evolves at the speed of AI. Empowering a</t>
        </is>
      </c>
      <c r="F6" s="32" t="n">
        <v>14</v>
      </c>
      <c r="G6" s="32" t="inlineStr">
        <is>
          <t>Complex</t>
        </is>
      </c>
      <c r="H6" s="32" t="n"/>
    </row>
    <row r="7" ht="23.85" customHeight="1" s="30">
      <c r="A7" s="32" t="n">
        <v>6</v>
      </c>
      <c r="B7" s="32" t="inlineStr">
        <is>
          <t>Vanta</t>
        </is>
      </c>
      <c r="C7" s="32" t="inlineStr">
        <is>
          <t>https://www.vanta.com</t>
        </is>
      </c>
      <c r="D7" s="34" t="inlineStr">
        <is>
          <t>Growth</t>
        </is>
      </c>
      <c r="E7" s="32" t="inlineStr">
        <is>
          <t>Automated compliance and trust management platform - 'Automate compliance, manage risk, and accelerate trust with AI'</t>
        </is>
      </c>
      <c r="F7" s="32" t="n">
        <v>13</v>
      </c>
      <c r="G7" s="32" t="inlineStr">
        <is>
          <t>Complex</t>
        </is>
      </c>
      <c r="H7" s="32" t="n"/>
    </row>
    <row r="8" ht="23.85" customHeight="1" s="30">
      <c r="A8" s="32" t="n">
        <v>7</v>
      </c>
      <c r="B8" s="32" t="inlineStr">
        <is>
          <t>Linear</t>
        </is>
      </c>
      <c r="C8" s="32" t="inlineStr">
        <is>
          <t>https://linear.app</t>
        </is>
      </c>
      <c r="D8" s="34" t="inlineStr">
        <is>
          <t>Growth</t>
        </is>
      </c>
      <c r="E8" s="32" t="inlineStr">
        <is>
          <t>Project management and issue tracking - 'A purpose-built tool for planning and building products. Streamline issues, pro</t>
        </is>
      </c>
      <c r="F8" s="32" t="n">
        <v>11</v>
      </c>
      <c r="G8" s="32" t="inlineStr">
        <is>
          <t>Medium</t>
        </is>
      </c>
      <c r="H8" s="32" t="n"/>
    </row>
    <row r="9" ht="23.85" customHeight="1" s="30">
      <c r="A9" s="32" t="n">
        <v>8</v>
      </c>
      <c r="B9" s="32" t="inlineStr">
        <is>
          <t>Retool</t>
        </is>
      </c>
      <c r="C9" s="32" t="inlineStr">
        <is>
          <t>https://retool.com</t>
        </is>
      </c>
      <c r="D9" s="34" t="inlineStr">
        <is>
          <t>Growth</t>
        </is>
      </c>
      <c r="E9" s="32" t="inlineStr">
        <is>
          <t>Low-code internal tools builder with AI - 'Build internal software better, with AI. From first prompt to full deployment</t>
        </is>
      </c>
      <c r="F9" s="32" t="n">
        <v>12</v>
      </c>
      <c r="G9" s="32" t="inlineStr">
        <is>
          <t>Complex</t>
        </is>
      </c>
      <c r="H9" s="32" t="n"/>
    </row>
    <row r="10" ht="23.85" customHeight="1" s="30">
      <c r="A10" s="32" t="n">
        <v>9</v>
      </c>
      <c r="B10" s="32" t="inlineStr">
        <is>
          <t>dbt Labs</t>
        </is>
      </c>
      <c r="C10" s="32" t="inlineStr">
        <is>
          <t>https://www.getdbt.com</t>
        </is>
      </c>
      <c r="D10" s="34" t="inlineStr">
        <is>
          <t>Growth</t>
        </is>
      </c>
      <c r="E10" s="32" t="inlineStr">
        <is>
          <t>Data transformation platform - 'A unified platform for delivering trusted data' with dbt Fusion engine (30x faster perfo</t>
        </is>
      </c>
      <c r="F10" s="32" t="n">
        <v>13</v>
      </c>
      <c r="G10" s="32" t="inlineStr">
        <is>
          <t>Complex</t>
        </is>
      </c>
      <c r="H10" s="32" t="n"/>
    </row>
    <row r="11" ht="23.85" customHeight="1" s="30">
      <c r="A11" s="32" t="n">
        <v>10</v>
      </c>
      <c r="B11" s="32" t="inlineStr">
        <is>
          <t>PostHog</t>
        </is>
      </c>
      <c r="C11" s="32" t="inlineStr">
        <is>
          <t>https://posthog.com</t>
        </is>
      </c>
      <c r="D11" s="34" t="inlineStr">
        <is>
          <t>Growth</t>
        </is>
      </c>
      <c r="E11" s="32" t="inlineStr">
        <is>
          <t>Product OS - dev tools for product engineers. 'We make dev tools that help product engineers build successful products.'</t>
        </is>
      </c>
      <c r="F11" s="32" t="n">
        <v>11</v>
      </c>
      <c r="G11" s="32" t="inlineStr">
        <is>
          <t>Complex</t>
        </is>
      </c>
      <c r="H11" s="32" t="n"/>
    </row>
    <row r="12" ht="15" customHeight="1" s="30">
      <c r="A12" s="32" t="n">
        <v>11</v>
      </c>
      <c r="B12" s="32" t="inlineStr">
        <is>
          <t>Gong</t>
        </is>
      </c>
      <c r="C12" s="32" t="inlineStr">
        <is>
          <t>https://www.gong.io</t>
        </is>
      </c>
      <c r="D12" s="34" t="inlineStr">
        <is>
          <t>Growth</t>
        </is>
      </c>
      <c r="E12" s="32" t="inlineStr">
        <is>
          <t>Revenue AI OS - 'The #1 AI Operating System for Revenue Teams'</t>
        </is>
      </c>
      <c r="F12" s="32" t="n">
        <v>16</v>
      </c>
      <c r="G12" s="32" t="inlineStr">
        <is>
          <t>Complex</t>
        </is>
      </c>
      <c r="H12" s="32" t="n"/>
    </row>
    <row r="13" ht="23.85" customHeight="1" s="30">
      <c r="A13" s="32" t="n">
        <v>12</v>
      </c>
      <c r="B13" s="32" t="inlineStr">
        <is>
          <t>Deel</t>
        </is>
      </c>
      <c r="C13" s="32" t="inlineStr">
        <is>
          <t>https://www.deel.com</t>
        </is>
      </c>
      <c r="D13" s="34" t="inlineStr">
        <is>
          <t>Growth</t>
        </is>
      </c>
      <c r="E13" s="32" t="inlineStr">
        <is>
          <t>Global People Platform - payroll, HR, compliance for global teams. 'All-in-one Global People Platform that simplifies th</t>
        </is>
      </c>
      <c r="F13" s="32" t="n">
        <v>13</v>
      </c>
      <c r="G13" s="32" t="inlineStr">
        <is>
          <t>Complex</t>
        </is>
      </c>
      <c r="H13" s="32" t="n"/>
    </row>
    <row r="14" ht="23.85" customHeight="1" s="30">
      <c r="A14" s="32" t="n">
        <v>13</v>
      </c>
      <c r="B14" s="32" t="inlineStr">
        <is>
          <t>Tines</t>
        </is>
      </c>
      <c r="C14" s="32" t="inlineStr">
        <is>
          <t>https://www.tines.com</t>
        </is>
      </c>
      <c r="D14" s="34" t="inlineStr">
        <is>
          <t>Growth</t>
        </is>
      </c>
      <c r="E14" s="32" t="inlineStr">
        <is>
          <t>Intelligent workflow platform - 'Securely scale AI and automation. Integrate agents, teams, and tools with speed and con</t>
        </is>
      </c>
      <c r="F14" s="32" t="n">
        <v>14</v>
      </c>
      <c r="G14" s="32" t="inlineStr">
        <is>
          <t>Complex</t>
        </is>
      </c>
      <c r="H14" s="32" t="inlineStr">
        <is>
          <t>Yes</t>
        </is>
      </c>
    </row>
    <row r="15" ht="23.85" customHeight="1" s="30">
      <c r="A15" s="32" t="n">
        <v>14</v>
      </c>
      <c r="B15" s="32" t="inlineStr">
        <is>
          <t>Vercel</t>
        </is>
      </c>
      <c r="C15" s="32" t="inlineStr">
        <is>
          <t>https://vercel.com</t>
        </is>
      </c>
      <c r="D15" s="34" t="inlineStr">
        <is>
          <t>Growth</t>
        </is>
      </c>
      <c r="E15" s="32" t="inlineStr">
        <is>
          <t xml:space="preserve">AI Cloud platform - 'Vercel provides the developer tools and cloud infrastructure to build, scale, and secure a faster, </t>
        </is>
      </c>
      <c r="F15" s="32" t="n">
        <v>13</v>
      </c>
      <c r="G15" s="32" t="inlineStr">
        <is>
          <t>Complex</t>
        </is>
      </c>
      <c r="H15" s="32" t="n"/>
    </row>
    <row r="16" ht="23.85" customHeight="1" s="30">
      <c r="A16" s="32" t="n">
        <v>15</v>
      </c>
      <c r="B16" s="32" t="inlineStr">
        <is>
          <t>HubSpot</t>
        </is>
      </c>
      <c r="C16" s="32" t="inlineStr">
        <is>
          <t>https://www.hubspot.com</t>
        </is>
      </c>
      <c r="D16" s="35" t="inlineStr">
        <is>
          <t>Mature</t>
        </is>
      </c>
      <c r="E16" s="32" t="inlineStr">
        <is>
          <t>AI-powered Customer Platform - 'Unite marketing, sales, and customer service on one AI-powered customer platform that de</t>
        </is>
      </c>
      <c r="F16" s="32" t="n">
        <v>13</v>
      </c>
      <c r="G16" s="32" t="inlineStr">
        <is>
          <t>Complex</t>
        </is>
      </c>
      <c r="H16" s="32" t="n"/>
    </row>
    <row r="17" ht="23.85" customHeight="1" s="30">
      <c r="A17" s="32" t="n">
        <v>16</v>
      </c>
      <c r="B17" s="32" t="inlineStr">
        <is>
          <t>Cloudflare</t>
        </is>
      </c>
      <c r="C17" s="32" t="inlineStr">
        <is>
          <t>https://www.cloudflare.com</t>
        </is>
      </c>
      <c r="D17" s="35" t="inlineStr">
        <is>
          <t>Mature</t>
        </is>
      </c>
      <c r="E17" s="32" t="inlineStr">
        <is>
          <t>Connectivity cloud - 'We make websites, apps, AI agents, and networks faster and more secure. Our agile SASE platform ac</t>
        </is>
      </c>
      <c r="F17" s="32" t="n">
        <v>15</v>
      </c>
      <c r="G17" s="32" t="inlineStr">
        <is>
          <t>Complex</t>
        </is>
      </c>
      <c r="H17" s="32" t="n"/>
    </row>
    <row r="18" ht="23.85" customHeight="1" s="30">
      <c r="A18" s="32" t="n">
        <v>17</v>
      </c>
      <c r="B18" s="32" t="inlineStr">
        <is>
          <t>MongoDB</t>
        </is>
      </c>
      <c r="C18" s="32" t="inlineStr">
        <is>
          <t>https://www.mongodb.com</t>
        </is>
      </c>
      <c r="D18" s="35" t="inlineStr">
        <is>
          <t>Mature</t>
        </is>
      </c>
      <c r="E18" s="32" t="inlineStr">
        <is>
          <t>Modern database platform - 'The only database architected for AI data. Store, index, and query vector embeddings nativel</t>
        </is>
      </c>
      <c r="F18" s="32" t="n">
        <v>13</v>
      </c>
      <c r="G18" s="32" t="inlineStr">
        <is>
          <t>Complex</t>
        </is>
      </c>
      <c r="H18" s="32" t="n"/>
    </row>
    <row r="19" ht="23.85" customHeight="1" s="30">
      <c r="A19" s="32" t="n">
        <v>18</v>
      </c>
      <c r="B19" s="32" t="inlineStr">
        <is>
          <t>Atlassian</t>
        </is>
      </c>
      <c r="C19" s="32" t="inlineStr">
        <is>
          <t>https://www.atlassian.com</t>
        </is>
      </c>
      <c r="D19" s="35" t="inlineStr">
        <is>
          <t>Mature</t>
        </is>
      </c>
      <c r="E19" s="32" t="inlineStr">
        <is>
          <t>Teamwork platform - 'The Teamwork platform built for the AI era.' AI-powered project management and collaboration.</t>
        </is>
      </c>
      <c r="F19" s="32" t="n">
        <v>13</v>
      </c>
      <c r="G19" s="32" t="inlineStr">
        <is>
          <t>Complex</t>
        </is>
      </c>
      <c r="H19" s="32" t="inlineStr">
        <is>
          <t>Yes</t>
        </is>
      </c>
    </row>
    <row r="20" ht="35.05" customHeight="1" s="30">
      <c r="A20" s="32" t="n">
        <v>19</v>
      </c>
      <c r="B20" s="32" t="inlineStr">
        <is>
          <t>Twilio</t>
        </is>
      </c>
      <c r="C20" s="32" t="inlineStr">
        <is>
          <t>https://www.twilio.com</t>
        </is>
      </c>
      <c r="D20" s="35" t="inlineStr">
        <is>
          <t>Mature</t>
        </is>
      </c>
      <c r="E20" s="32" t="inlineStr">
        <is>
          <t>Customer Engagement Platform - 'The Twilio Customer Engagement platform combines powerful communications APIs with AI an</t>
        </is>
      </c>
      <c r="F20" s="32" t="n">
        <v>13</v>
      </c>
      <c r="G20" s="32" t="inlineStr">
        <is>
          <t>Complex</t>
        </is>
      </c>
      <c r="H20" s="32" t="n"/>
    </row>
    <row r="21" ht="15" customHeight="1" s="30">
      <c r="A21" s="32" t="n">
        <v>20</v>
      </c>
      <c r="B21" s="32" t="inlineStr">
        <is>
          <t>Buttondown</t>
        </is>
      </c>
      <c r="C21" s="32" t="inlineStr">
        <is>
          <t>https://buttondown.com</t>
        </is>
      </c>
      <c r="D21" s="33" t="inlineStr">
        <is>
          <t>Early</t>
        </is>
      </c>
      <c r="E21" s="32" t="inlineStr">
        <is>
          <t>Newsletter/email platform - 'the last email platform you'll switch to'</t>
        </is>
      </c>
      <c r="F21" s="32" t="n">
        <v>11</v>
      </c>
      <c r="G21" s="32" t="inlineStr">
        <is>
          <t>simple</t>
        </is>
      </c>
      <c r="H21" s="32" t="n"/>
    </row>
    <row r="22" ht="23.85" customHeight="1" s="30">
      <c r="A22" s="32" t="n">
        <v>21</v>
      </c>
      <c r="B22" s="32" t="inlineStr">
        <is>
          <t>Plausible Analytics</t>
        </is>
      </c>
      <c r="C22" s="32" t="inlineStr">
        <is>
          <t>https://plausible.io</t>
        </is>
      </c>
      <c r="D22" s="33" t="inlineStr">
        <is>
          <t>Early</t>
        </is>
      </c>
      <c r="E22" s="32" t="inlineStr">
        <is>
          <t>Web analytics - 'Easy to use and privacy-friendly Google Analytics alternative'</t>
        </is>
      </c>
      <c r="F22" s="32" t="n">
        <v>16</v>
      </c>
      <c r="G22" s="32" t="inlineStr">
        <is>
          <t>simple</t>
        </is>
      </c>
      <c r="H22" s="32" t="inlineStr">
        <is>
          <t>Yes</t>
        </is>
      </c>
    </row>
  </sheetData>
  <autoFilter ref="A1:H2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4472C4"/>
    <outlinePr summaryBelow="1" summaryRight="1"/>
    <pageSetUpPr fitToPage="0"/>
  </sheetPr>
  <dimension ref="A1:W23"/>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1" zeroHeight="0" outlineLevelRow="0"/>
  <cols>
    <col width="20" customWidth="1" style="29" min="1" max="1"/>
    <col width="10" customWidth="1" style="29" min="2" max="2"/>
    <col width="5" customWidth="1" style="29" min="3" max="22"/>
    <col width="8" customWidth="1" style="29" min="23" max="23"/>
  </cols>
  <sheetData>
    <row r="1" ht="111.15" customHeight="1" s="30">
      <c r="A1" s="36" t="inlineStr">
        <is>
          <t>Company</t>
        </is>
      </c>
      <c r="B1" s="36" t="inlineStr">
        <is>
          <t>Stage</t>
        </is>
      </c>
      <c r="C1" s="37" t="inlineStr">
        <is>
          <t>is_working</t>
        </is>
      </c>
      <c r="D1" s="37" t="inlineStr">
        <is>
          <t>language</t>
        </is>
      </c>
      <c r="E1" s="37" t="inlineStr">
        <is>
          <t>operation_country</t>
        </is>
      </c>
      <c r="F1" s="37" t="inlineStr">
        <is>
          <t>main_product_type</t>
        </is>
      </c>
      <c r="G1" s="37" t="inlineStr">
        <is>
          <t>pricing_information</t>
        </is>
      </c>
      <c r="H1" s="37" t="inlineStr">
        <is>
          <t>industries</t>
        </is>
      </c>
      <c r="I1" s="37" t="inlineStr">
        <is>
          <t>key_features</t>
        </is>
      </c>
      <c r="J1" s="37" t="inlineStr">
        <is>
          <t>is_launched</t>
        </is>
      </c>
      <c r="K1" s="37" t="inlineStr">
        <is>
          <t>product_category</t>
        </is>
      </c>
      <c r="L1" s="37" t="inlineStr">
        <is>
          <t>used_by</t>
        </is>
      </c>
      <c r="M1" s="37" t="inlineStr">
        <is>
          <t>number_of_employees</t>
        </is>
      </c>
      <c r="N1" s="37" t="inlineStr">
        <is>
          <t>Featured_in</t>
        </is>
      </c>
      <c r="O1" s="37" t="inlineStr">
        <is>
          <t>Press_releases</t>
        </is>
      </c>
      <c r="P1" s="37" t="inlineStr">
        <is>
          <t>backing_funds</t>
        </is>
      </c>
      <c r="Q1" s="37" t="inlineStr">
        <is>
          <t>Patents</t>
        </is>
      </c>
      <c r="R1" s="37" t="inlineStr">
        <is>
          <t>customers_served</t>
        </is>
      </c>
      <c r="S1" s="37" t="inlineStr">
        <is>
          <t>Competitors</t>
        </is>
      </c>
      <c r="T1" s="37" t="inlineStr">
        <is>
          <t>conferences_attendance</t>
        </is>
      </c>
      <c r="U1" s="37" t="inlineStr">
        <is>
          <t>is_people_based_service</t>
        </is>
      </c>
      <c r="V1" s="37" t="inlineStr">
        <is>
          <t>is_capital_intensive</t>
        </is>
      </c>
      <c r="W1" s="31" t="inlineStr">
        <is>
          <t>TOTAL</t>
        </is>
      </c>
    </row>
    <row r="2" ht="15" customHeight="1" s="30">
      <c r="A2" s="38" t="inlineStr">
        <is>
          <t>Resend</t>
        </is>
      </c>
      <c r="B2" s="39" t="inlineStr">
        <is>
          <t>Early</t>
        </is>
      </c>
      <c r="C2" s="40" t="n">
        <v>1</v>
      </c>
      <c r="D2" s="40" t="n">
        <v>1</v>
      </c>
      <c r="E2" s="40" t="n">
        <v>1</v>
      </c>
      <c r="F2" s="40" t="n">
        <v>1</v>
      </c>
      <c r="G2" s="40" t="n">
        <v>1</v>
      </c>
      <c r="H2" s="41" t="n">
        <v>0</v>
      </c>
      <c r="I2" s="40" t="n">
        <v>1</v>
      </c>
      <c r="J2" s="40" t="n">
        <v>1</v>
      </c>
      <c r="K2" s="40" t="n">
        <v>1</v>
      </c>
      <c r="L2" s="40" t="n">
        <v>1</v>
      </c>
      <c r="M2" s="40" t="n">
        <v>1</v>
      </c>
      <c r="N2" s="41" t="n">
        <v>0</v>
      </c>
      <c r="O2" s="40" t="n">
        <v>1</v>
      </c>
      <c r="P2" s="40" t="n">
        <v>1</v>
      </c>
      <c r="Q2" s="41" t="n">
        <v>0</v>
      </c>
      <c r="R2" s="41" t="n">
        <v>0</v>
      </c>
      <c r="S2" s="41" t="n">
        <v>0</v>
      </c>
      <c r="T2" s="41" t="n">
        <v>0</v>
      </c>
      <c r="U2" s="40" t="n">
        <v>1</v>
      </c>
      <c r="V2" s="40" t="n">
        <v>1</v>
      </c>
      <c r="W2" s="42">
        <f>SUM(C2:V2)</f>
        <v/>
      </c>
    </row>
    <row r="3" ht="15" customHeight="1" s="30">
      <c r="A3" s="38" t="inlineStr">
        <is>
          <t>Mintlify</t>
        </is>
      </c>
      <c r="B3" s="39" t="inlineStr">
        <is>
          <t>Early</t>
        </is>
      </c>
      <c r="C3" s="40" t="n">
        <v>1</v>
      </c>
      <c r="D3" s="40" t="n">
        <v>1</v>
      </c>
      <c r="E3" s="41" t="n">
        <v>0</v>
      </c>
      <c r="F3" s="40" t="n">
        <v>1</v>
      </c>
      <c r="G3" s="40" t="n">
        <v>1</v>
      </c>
      <c r="H3" s="40" t="n">
        <v>1</v>
      </c>
      <c r="I3" s="40" t="n">
        <v>1</v>
      </c>
      <c r="J3" s="40" t="n">
        <v>1</v>
      </c>
      <c r="K3" s="40" t="n">
        <v>1</v>
      </c>
      <c r="L3" s="40" t="n">
        <v>1</v>
      </c>
      <c r="M3" s="41" t="n">
        <v>0</v>
      </c>
      <c r="N3" s="41" t="n">
        <v>0</v>
      </c>
      <c r="O3" s="40" t="n">
        <v>1</v>
      </c>
      <c r="P3" s="41" t="n">
        <v>0</v>
      </c>
      <c r="Q3" s="41" t="n">
        <v>0</v>
      </c>
      <c r="R3" s="40" t="n">
        <v>1</v>
      </c>
      <c r="S3" s="41" t="n">
        <v>0</v>
      </c>
      <c r="T3" s="41" t="n">
        <v>0</v>
      </c>
      <c r="U3" s="40" t="n">
        <v>1</v>
      </c>
      <c r="V3" s="40" t="n">
        <v>1</v>
      </c>
      <c r="W3" s="42">
        <f>SUM(C3:V3)</f>
        <v/>
      </c>
    </row>
    <row r="4" ht="15" customHeight="1" s="30">
      <c r="A4" s="38" t="inlineStr">
        <is>
          <t>Cal.com</t>
        </is>
      </c>
      <c r="B4" s="39" t="inlineStr">
        <is>
          <t>Early</t>
        </is>
      </c>
      <c r="C4" s="40" t="n">
        <v>1</v>
      </c>
      <c r="D4" s="40" t="n">
        <v>1</v>
      </c>
      <c r="E4" s="41" t="n">
        <v>0</v>
      </c>
      <c r="F4" s="40" t="n">
        <v>1</v>
      </c>
      <c r="G4" s="40" t="n">
        <v>1</v>
      </c>
      <c r="H4" s="40" t="n">
        <v>1</v>
      </c>
      <c r="I4" s="40" t="n">
        <v>1</v>
      </c>
      <c r="J4" s="40" t="n">
        <v>1</v>
      </c>
      <c r="K4" s="40" t="n">
        <v>1</v>
      </c>
      <c r="L4" s="40" t="n">
        <v>1</v>
      </c>
      <c r="M4" s="41" t="n">
        <v>0</v>
      </c>
      <c r="N4" s="41" t="n">
        <v>0</v>
      </c>
      <c r="O4" s="40" t="n">
        <v>1</v>
      </c>
      <c r="P4" s="41" t="n">
        <v>0</v>
      </c>
      <c r="Q4" s="41" t="n">
        <v>0</v>
      </c>
      <c r="R4" s="40" t="n">
        <v>1</v>
      </c>
      <c r="S4" s="40" t="n">
        <v>1</v>
      </c>
      <c r="T4" s="41" t="n">
        <v>0</v>
      </c>
      <c r="U4" s="40" t="n">
        <v>1</v>
      </c>
      <c r="V4" s="40" t="n">
        <v>1</v>
      </c>
      <c r="W4" s="42">
        <f>SUM(C4:V4)</f>
        <v/>
      </c>
    </row>
    <row r="5" ht="15" customHeight="1" s="30">
      <c r="A5" s="38" t="inlineStr">
        <is>
          <t>Loops</t>
        </is>
      </c>
      <c r="B5" s="39" t="inlineStr">
        <is>
          <t>Early</t>
        </is>
      </c>
      <c r="C5" s="40" t="n">
        <v>1</v>
      </c>
      <c r="D5" s="40" t="n">
        <v>1</v>
      </c>
      <c r="E5" s="41" t="n">
        <v>0</v>
      </c>
      <c r="F5" s="40" t="n">
        <v>1</v>
      </c>
      <c r="G5" s="40" t="n">
        <v>1</v>
      </c>
      <c r="H5" s="41" t="n">
        <v>0</v>
      </c>
      <c r="I5" s="40" t="n">
        <v>1</v>
      </c>
      <c r="J5" s="40" t="n">
        <v>1</v>
      </c>
      <c r="K5" s="40" t="n">
        <v>1</v>
      </c>
      <c r="L5" s="40" t="n">
        <v>1</v>
      </c>
      <c r="M5" s="41" t="n">
        <v>0</v>
      </c>
      <c r="N5" s="41" t="n">
        <v>0</v>
      </c>
      <c r="O5" s="40" t="n">
        <v>1</v>
      </c>
      <c r="P5" s="40" t="n">
        <v>1</v>
      </c>
      <c r="Q5" s="41" t="n">
        <v>0</v>
      </c>
      <c r="R5" s="41" t="n">
        <v>0</v>
      </c>
      <c r="S5" s="41" t="n">
        <v>0</v>
      </c>
      <c r="T5" s="41" t="n">
        <v>0</v>
      </c>
      <c r="U5" s="40" t="n">
        <v>1</v>
      </c>
      <c r="V5" s="40" t="n">
        <v>1</v>
      </c>
      <c r="W5" s="42">
        <f>SUM(C5:V5)</f>
        <v/>
      </c>
    </row>
    <row r="6" ht="15" customHeight="1" s="30">
      <c r="A6" s="38" t="inlineStr">
        <is>
          <t>Ashby</t>
        </is>
      </c>
      <c r="B6" s="39" t="inlineStr">
        <is>
          <t>Early</t>
        </is>
      </c>
      <c r="C6" s="40" t="n">
        <v>1</v>
      </c>
      <c r="D6" s="40" t="n">
        <v>1</v>
      </c>
      <c r="E6" s="41" t="n">
        <v>0</v>
      </c>
      <c r="F6" s="40" t="n">
        <v>1</v>
      </c>
      <c r="G6" s="40" t="n">
        <v>1</v>
      </c>
      <c r="H6" s="41" t="n">
        <v>0</v>
      </c>
      <c r="I6" s="40" t="n">
        <v>1</v>
      </c>
      <c r="J6" s="40" t="n">
        <v>1</v>
      </c>
      <c r="K6" s="40" t="n">
        <v>1</v>
      </c>
      <c r="L6" s="40" t="n">
        <v>1</v>
      </c>
      <c r="M6" s="40" t="n">
        <v>1</v>
      </c>
      <c r="N6" s="41" t="n">
        <v>0</v>
      </c>
      <c r="O6" s="40" t="n">
        <v>1</v>
      </c>
      <c r="P6" s="41" t="n">
        <v>0</v>
      </c>
      <c r="Q6" s="41" t="n">
        <v>0</v>
      </c>
      <c r="R6" s="41" t="n">
        <v>0</v>
      </c>
      <c r="S6" s="40" t="n">
        <v>1</v>
      </c>
      <c r="T6" s="40" t="n">
        <v>1</v>
      </c>
      <c r="U6" s="40" t="n">
        <v>1</v>
      </c>
      <c r="V6" s="40" t="n">
        <v>1</v>
      </c>
      <c r="W6" s="42">
        <f>SUM(C6:V6)</f>
        <v/>
      </c>
    </row>
    <row r="7" ht="15" customHeight="1" s="30">
      <c r="A7" s="38" t="inlineStr">
        <is>
          <t>Vanta</t>
        </is>
      </c>
      <c r="B7" s="43" t="inlineStr">
        <is>
          <t>Growth</t>
        </is>
      </c>
      <c r="C7" s="40" t="n">
        <v>1</v>
      </c>
      <c r="D7" s="40" t="n">
        <v>1</v>
      </c>
      <c r="E7" s="41" t="n">
        <v>0</v>
      </c>
      <c r="F7" s="40" t="n">
        <v>1</v>
      </c>
      <c r="G7" s="40" t="n">
        <v>1</v>
      </c>
      <c r="H7" s="40" t="n">
        <v>1</v>
      </c>
      <c r="I7" s="40" t="n">
        <v>1</v>
      </c>
      <c r="J7" s="40" t="n">
        <v>1</v>
      </c>
      <c r="K7" s="40" t="n">
        <v>1</v>
      </c>
      <c r="L7" s="40" t="n">
        <v>1</v>
      </c>
      <c r="M7" s="41" t="n">
        <v>0</v>
      </c>
      <c r="N7" s="41" t="n">
        <v>0</v>
      </c>
      <c r="O7" s="40" t="n">
        <v>1</v>
      </c>
      <c r="P7" s="41" t="n">
        <v>0</v>
      </c>
      <c r="Q7" s="41" t="n">
        <v>0</v>
      </c>
      <c r="R7" s="40" t="n">
        <v>1</v>
      </c>
      <c r="S7" s="41" t="n">
        <v>0</v>
      </c>
      <c r="T7" s="41" t="n">
        <v>0</v>
      </c>
      <c r="U7" s="40" t="n">
        <v>1</v>
      </c>
      <c r="V7" s="40" t="n">
        <v>1</v>
      </c>
      <c r="W7" s="42">
        <f>SUM(C7:V7)</f>
        <v/>
      </c>
    </row>
    <row r="8" ht="15" customHeight="1" s="30">
      <c r="A8" s="38" t="inlineStr">
        <is>
          <t>Linear</t>
        </is>
      </c>
      <c r="B8" s="43" t="inlineStr">
        <is>
          <t>Growth</t>
        </is>
      </c>
      <c r="C8" s="40" t="n">
        <v>1</v>
      </c>
      <c r="D8" s="40" t="n">
        <v>1</v>
      </c>
      <c r="E8" s="41" t="n">
        <v>0</v>
      </c>
      <c r="F8" s="40" t="n">
        <v>1</v>
      </c>
      <c r="G8" s="40" t="n">
        <v>1</v>
      </c>
      <c r="H8" s="41" t="n">
        <v>0</v>
      </c>
      <c r="I8" s="40" t="n">
        <v>1</v>
      </c>
      <c r="J8" s="40" t="n">
        <v>1</v>
      </c>
      <c r="K8" s="40" t="n">
        <v>1</v>
      </c>
      <c r="L8" s="40" t="n">
        <v>1</v>
      </c>
      <c r="M8" s="41" t="n">
        <v>0</v>
      </c>
      <c r="N8" s="41" t="n">
        <v>0</v>
      </c>
      <c r="O8" s="40" t="n">
        <v>1</v>
      </c>
      <c r="P8" s="41" t="n">
        <v>0</v>
      </c>
      <c r="Q8" s="41" t="n">
        <v>0</v>
      </c>
      <c r="R8" s="41" t="n">
        <v>0</v>
      </c>
      <c r="S8" s="41" t="n">
        <v>0</v>
      </c>
      <c r="T8" s="41" t="n">
        <v>0</v>
      </c>
      <c r="U8" s="40" t="n">
        <v>1</v>
      </c>
      <c r="V8" s="40" t="n">
        <v>1</v>
      </c>
      <c r="W8" s="42">
        <f>SUM(C8:V8)</f>
        <v/>
      </c>
    </row>
    <row r="9" ht="15" customHeight="1" s="30">
      <c r="A9" s="38" t="inlineStr">
        <is>
          <t>Retool</t>
        </is>
      </c>
      <c r="B9" s="43" t="inlineStr">
        <is>
          <t>Growth</t>
        </is>
      </c>
      <c r="C9" s="40" t="n">
        <v>1</v>
      </c>
      <c r="D9" s="40" t="n">
        <v>1</v>
      </c>
      <c r="E9" s="41" t="n">
        <v>0</v>
      </c>
      <c r="F9" s="40" t="n">
        <v>1</v>
      </c>
      <c r="G9" s="40" t="n">
        <v>1</v>
      </c>
      <c r="H9" s="40" t="n">
        <v>1</v>
      </c>
      <c r="I9" s="40" t="n">
        <v>1</v>
      </c>
      <c r="J9" s="40" t="n">
        <v>1</v>
      </c>
      <c r="K9" s="40" t="n">
        <v>1</v>
      </c>
      <c r="L9" s="40" t="n">
        <v>1</v>
      </c>
      <c r="M9" s="41" t="n">
        <v>0</v>
      </c>
      <c r="N9" s="41" t="n">
        <v>0</v>
      </c>
      <c r="O9" s="40" t="n">
        <v>1</v>
      </c>
      <c r="P9" s="41" t="n">
        <v>0</v>
      </c>
      <c r="Q9" s="41" t="n">
        <v>0</v>
      </c>
      <c r="R9" s="41" t="n">
        <v>0</v>
      </c>
      <c r="S9" s="41" t="n">
        <v>0</v>
      </c>
      <c r="T9" s="41" t="n">
        <v>0</v>
      </c>
      <c r="U9" s="40" t="n">
        <v>1</v>
      </c>
      <c r="V9" s="40" t="n">
        <v>1</v>
      </c>
      <c r="W9" s="42">
        <f>SUM(C9:V9)</f>
        <v/>
      </c>
    </row>
    <row r="10" ht="15" customHeight="1" s="30">
      <c r="A10" s="38" t="inlineStr">
        <is>
          <t>dbt Labs</t>
        </is>
      </c>
      <c r="B10" s="43" t="inlineStr">
        <is>
          <t>Growth</t>
        </is>
      </c>
      <c r="C10" s="40" t="n">
        <v>1</v>
      </c>
      <c r="D10" s="40" t="n">
        <v>1</v>
      </c>
      <c r="E10" s="41" t="n">
        <v>0</v>
      </c>
      <c r="F10" s="40" t="n">
        <v>1</v>
      </c>
      <c r="G10" s="40" t="n">
        <v>1</v>
      </c>
      <c r="H10" s="41" t="n">
        <v>0</v>
      </c>
      <c r="I10" s="40" t="n">
        <v>1</v>
      </c>
      <c r="J10" s="40" t="n">
        <v>1</v>
      </c>
      <c r="K10" s="40" t="n">
        <v>1</v>
      </c>
      <c r="L10" s="40" t="n">
        <v>1</v>
      </c>
      <c r="M10" s="41" t="n">
        <v>0</v>
      </c>
      <c r="N10" s="40" t="n">
        <v>1</v>
      </c>
      <c r="O10" s="40" t="n">
        <v>1</v>
      </c>
      <c r="P10" s="41" t="n">
        <v>0</v>
      </c>
      <c r="Q10" s="41" t="n">
        <v>0</v>
      </c>
      <c r="R10" s="40" t="n">
        <v>1</v>
      </c>
      <c r="S10" s="41" t="n">
        <v>0</v>
      </c>
      <c r="T10" s="41" t="n">
        <v>0</v>
      </c>
      <c r="U10" s="40" t="n">
        <v>1</v>
      </c>
      <c r="V10" s="40" t="n">
        <v>1</v>
      </c>
      <c r="W10" s="42">
        <f>SUM(C10:V10)</f>
        <v/>
      </c>
    </row>
    <row r="11" ht="15" customHeight="1" s="30">
      <c r="A11" s="38" t="inlineStr">
        <is>
          <t>PostHog</t>
        </is>
      </c>
      <c r="B11" s="43" t="inlineStr">
        <is>
          <t>Growth</t>
        </is>
      </c>
      <c r="C11" s="40" t="n">
        <v>1</v>
      </c>
      <c r="D11" s="40" t="n">
        <v>1</v>
      </c>
      <c r="E11" s="41" t="n">
        <v>0</v>
      </c>
      <c r="F11" s="40" t="n">
        <v>1</v>
      </c>
      <c r="G11" s="40" t="n">
        <v>1</v>
      </c>
      <c r="H11" s="41" t="n">
        <v>0</v>
      </c>
      <c r="I11" s="40" t="n">
        <v>1</v>
      </c>
      <c r="J11" s="40" t="n">
        <v>1</v>
      </c>
      <c r="K11" s="40" t="n">
        <v>1</v>
      </c>
      <c r="L11" s="40" t="n">
        <v>1</v>
      </c>
      <c r="M11" s="41" t="n">
        <v>0</v>
      </c>
      <c r="N11" s="41" t="n">
        <v>0</v>
      </c>
      <c r="O11" s="40" t="n">
        <v>1</v>
      </c>
      <c r="P11" s="41" t="n">
        <v>0</v>
      </c>
      <c r="Q11" s="41" t="n">
        <v>0</v>
      </c>
      <c r="R11" s="41" t="n">
        <v>0</v>
      </c>
      <c r="S11" s="41" t="n">
        <v>0</v>
      </c>
      <c r="T11" s="41" t="n">
        <v>0</v>
      </c>
      <c r="U11" s="40" t="n">
        <v>1</v>
      </c>
      <c r="V11" s="40" t="n">
        <v>1</v>
      </c>
      <c r="W11" s="42">
        <f>SUM(C11:V11)</f>
        <v/>
      </c>
    </row>
    <row r="12" ht="15" customHeight="1" s="30">
      <c r="A12" s="38" t="inlineStr">
        <is>
          <t>Gong</t>
        </is>
      </c>
      <c r="B12" s="43" t="inlineStr">
        <is>
          <t>Growth</t>
        </is>
      </c>
      <c r="C12" s="40" t="n">
        <v>1</v>
      </c>
      <c r="D12" s="40" t="n">
        <v>1</v>
      </c>
      <c r="E12" s="40" t="n">
        <v>1</v>
      </c>
      <c r="F12" s="40" t="n">
        <v>1</v>
      </c>
      <c r="G12" s="40" t="n">
        <v>1</v>
      </c>
      <c r="H12" s="40" t="n">
        <v>1</v>
      </c>
      <c r="I12" s="40" t="n">
        <v>1</v>
      </c>
      <c r="J12" s="40" t="n">
        <v>1</v>
      </c>
      <c r="K12" s="40" t="n">
        <v>1</v>
      </c>
      <c r="L12" s="40" t="n">
        <v>1</v>
      </c>
      <c r="M12" s="40" t="n">
        <v>1</v>
      </c>
      <c r="N12" s="40" t="n">
        <v>1</v>
      </c>
      <c r="O12" s="40" t="n">
        <v>1</v>
      </c>
      <c r="P12" s="41" t="n">
        <v>0</v>
      </c>
      <c r="Q12" s="41" t="n">
        <v>0</v>
      </c>
      <c r="R12" s="40" t="n">
        <v>1</v>
      </c>
      <c r="S12" s="41" t="n">
        <v>0</v>
      </c>
      <c r="T12" s="41" t="n">
        <v>0</v>
      </c>
      <c r="U12" s="40" t="n">
        <v>1</v>
      </c>
      <c r="V12" s="40" t="n">
        <v>1</v>
      </c>
      <c r="W12" s="42">
        <f>SUM(C12:V12)</f>
        <v/>
      </c>
    </row>
    <row r="13" ht="15" customHeight="1" s="30">
      <c r="A13" s="38" t="inlineStr">
        <is>
          <t>Deel</t>
        </is>
      </c>
      <c r="B13" s="43" t="inlineStr">
        <is>
          <t>Growth</t>
        </is>
      </c>
      <c r="C13" s="40" t="n">
        <v>1</v>
      </c>
      <c r="D13" s="40" t="n">
        <v>1</v>
      </c>
      <c r="E13" s="41" t="n">
        <v>0</v>
      </c>
      <c r="F13" s="40" t="n">
        <v>1</v>
      </c>
      <c r="G13" s="40" t="n">
        <v>1</v>
      </c>
      <c r="H13" s="41" t="n">
        <v>0</v>
      </c>
      <c r="I13" s="40" t="n">
        <v>1</v>
      </c>
      <c r="J13" s="40" t="n">
        <v>1</v>
      </c>
      <c r="K13" s="40" t="n">
        <v>1</v>
      </c>
      <c r="L13" s="40" t="n">
        <v>1</v>
      </c>
      <c r="M13" s="41" t="n">
        <v>0</v>
      </c>
      <c r="N13" s="41" t="n">
        <v>0</v>
      </c>
      <c r="O13" s="40" t="n">
        <v>1</v>
      </c>
      <c r="P13" s="41" t="n">
        <v>0</v>
      </c>
      <c r="Q13" s="41" t="n">
        <v>0</v>
      </c>
      <c r="R13" s="40" t="n">
        <v>1</v>
      </c>
      <c r="S13" s="41" t="n">
        <v>0</v>
      </c>
      <c r="T13" s="40" t="n">
        <v>1</v>
      </c>
      <c r="U13" s="40" t="n">
        <v>1</v>
      </c>
      <c r="V13" s="40" t="n">
        <v>1</v>
      </c>
      <c r="W13" s="42">
        <f>SUM(C13:V13)</f>
        <v/>
      </c>
    </row>
    <row r="14" ht="15" customHeight="1" s="30">
      <c r="A14" s="38" t="inlineStr">
        <is>
          <t>Tines</t>
        </is>
      </c>
      <c r="B14" s="43" t="inlineStr">
        <is>
          <t>Growth</t>
        </is>
      </c>
      <c r="C14" s="40" t="n">
        <v>1</v>
      </c>
      <c r="D14" s="40" t="n">
        <v>1</v>
      </c>
      <c r="E14" s="41" t="n">
        <v>0</v>
      </c>
      <c r="F14" s="40" t="n">
        <v>1</v>
      </c>
      <c r="G14" s="40" t="n">
        <v>1</v>
      </c>
      <c r="H14" s="40" t="n">
        <v>1</v>
      </c>
      <c r="I14" s="40" t="n">
        <v>1</v>
      </c>
      <c r="J14" s="40" t="n">
        <v>1</v>
      </c>
      <c r="K14" s="40" t="n">
        <v>1</v>
      </c>
      <c r="L14" s="40" t="n">
        <v>1</v>
      </c>
      <c r="M14" s="41" t="n">
        <v>0</v>
      </c>
      <c r="N14" s="40" t="n">
        <v>1</v>
      </c>
      <c r="O14" s="40" t="n">
        <v>1</v>
      </c>
      <c r="P14" s="41" t="n">
        <v>0</v>
      </c>
      <c r="Q14" s="41" t="n">
        <v>0</v>
      </c>
      <c r="R14" s="41" t="n">
        <v>0</v>
      </c>
      <c r="S14" s="41" t="n">
        <v>0</v>
      </c>
      <c r="T14" s="40" t="n">
        <v>1</v>
      </c>
      <c r="U14" s="40" t="n">
        <v>1</v>
      </c>
      <c r="V14" s="40" t="n">
        <v>1</v>
      </c>
      <c r="W14" s="42">
        <f>SUM(C14:V14)</f>
        <v/>
      </c>
    </row>
    <row r="15" ht="15" customHeight="1" s="30">
      <c r="A15" s="38" t="inlineStr">
        <is>
          <t>Vercel</t>
        </is>
      </c>
      <c r="B15" s="43" t="inlineStr">
        <is>
          <t>Growth</t>
        </is>
      </c>
      <c r="C15" s="40" t="n">
        <v>1</v>
      </c>
      <c r="D15" s="40" t="n">
        <v>1</v>
      </c>
      <c r="E15" s="41" t="n">
        <v>0</v>
      </c>
      <c r="F15" s="40" t="n">
        <v>1</v>
      </c>
      <c r="G15" s="40" t="n">
        <v>1</v>
      </c>
      <c r="H15" s="40" t="n">
        <v>1</v>
      </c>
      <c r="I15" s="40" t="n">
        <v>1</v>
      </c>
      <c r="J15" s="40" t="n">
        <v>1</v>
      </c>
      <c r="K15" s="40" t="n">
        <v>1</v>
      </c>
      <c r="L15" s="40" t="n">
        <v>1</v>
      </c>
      <c r="M15" s="41" t="n">
        <v>0</v>
      </c>
      <c r="N15" s="41" t="n">
        <v>0</v>
      </c>
      <c r="O15" s="40" t="n">
        <v>1</v>
      </c>
      <c r="P15" s="41" t="n">
        <v>0</v>
      </c>
      <c r="Q15" s="41" t="n">
        <v>0</v>
      </c>
      <c r="R15" s="41" t="n">
        <v>0</v>
      </c>
      <c r="S15" s="41" t="n">
        <v>0</v>
      </c>
      <c r="T15" s="40" t="n">
        <v>1</v>
      </c>
      <c r="U15" s="40" t="n">
        <v>1</v>
      </c>
      <c r="V15" s="40" t="n">
        <v>1</v>
      </c>
      <c r="W15" s="42">
        <f>SUM(C15:V15)</f>
        <v/>
      </c>
    </row>
    <row r="16" ht="15" customHeight="1" s="30">
      <c r="A16" s="38" t="inlineStr">
        <is>
          <t>HubSpot</t>
        </is>
      </c>
      <c r="B16" s="44" t="inlineStr">
        <is>
          <t>Mature</t>
        </is>
      </c>
      <c r="C16" s="40" t="n">
        <v>1</v>
      </c>
      <c r="D16" s="40" t="n">
        <v>1</v>
      </c>
      <c r="E16" s="41" t="n">
        <v>0</v>
      </c>
      <c r="F16" s="40" t="n">
        <v>1</v>
      </c>
      <c r="G16" s="40" t="n">
        <v>1</v>
      </c>
      <c r="H16" s="41" t="n">
        <v>0</v>
      </c>
      <c r="I16" s="40" t="n">
        <v>1</v>
      </c>
      <c r="J16" s="40" t="n">
        <v>1</v>
      </c>
      <c r="K16" s="40" t="n">
        <v>1</v>
      </c>
      <c r="L16" s="40" t="n">
        <v>1</v>
      </c>
      <c r="M16" s="41" t="n">
        <v>0</v>
      </c>
      <c r="N16" s="40" t="n">
        <v>1</v>
      </c>
      <c r="O16" s="40" t="n">
        <v>1</v>
      </c>
      <c r="P16" s="41" t="n">
        <v>0</v>
      </c>
      <c r="Q16" s="41" t="n">
        <v>0</v>
      </c>
      <c r="R16" s="40" t="n">
        <v>1</v>
      </c>
      <c r="S16" s="41" t="n">
        <v>0</v>
      </c>
      <c r="T16" s="41" t="n">
        <v>0</v>
      </c>
      <c r="U16" s="40" t="n">
        <v>1</v>
      </c>
      <c r="V16" s="40" t="n">
        <v>1</v>
      </c>
      <c r="W16" s="42">
        <f>SUM(C16:V16)</f>
        <v/>
      </c>
    </row>
    <row r="17" ht="15" customHeight="1" s="30">
      <c r="A17" s="38" t="inlineStr">
        <is>
          <t>Cloudflare</t>
        </is>
      </c>
      <c r="B17" s="44" t="inlineStr">
        <is>
          <t>Mature</t>
        </is>
      </c>
      <c r="C17" s="40" t="n">
        <v>1</v>
      </c>
      <c r="D17" s="40" t="n">
        <v>1</v>
      </c>
      <c r="E17" s="40" t="n">
        <v>1</v>
      </c>
      <c r="F17" s="40" t="n">
        <v>1</v>
      </c>
      <c r="G17" s="40" t="n">
        <v>1</v>
      </c>
      <c r="H17" s="41" t="n">
        <v>0</v>
      </c>
      <c r="I17" s="40" t="n">
        <v>1</v>
      </c>
      <c r="J17" s="40" t="n">
        <v>1</v>
      </c>
      <c r="K17" s="40" t="n">
        <v>1</v>
      </c>
      <c r="L17" s="40" t="n">
        <v>1</v>
      </c>
      <c r="M17" s="41" t="n">
        <v>0</v>
      </c>
      <c r="N17" s="40" t="n">
        <v>1</v>
      </c>
      <c r="O17" s="40" t="n">
        <v>1</v>
      </c>
      <c r="P17" s="41" t="n">
        <v>0</v>
      </c>
      <c r="Q17" s="41" t="n">
        <v>0</v>
      </c>
      <c r="R17" s="40" t="n">
        <v>1</v>
      </c>
      <c r="S17" s="41" t="n">
        <v>0</v>
      </c>
      <c r="T17" s="40" t="n">
        <v>1</v>
      </c>
      <c r="U17" s="40" t="n">
        <v>1</v>
      </c>
      <c r="V17" s="40" t="n">
        <v>1</v>
      </c>
      <c r="W17" s="42">
        <f>SUM(C17:V17)</f>
        <v/>
      </c>
    </row>
    <row r="18" ht="15" customHeight="1" s="30">
      <c r="A18" s="38" t="inlineStr">
        <is>
          <t>MongoDB</t>
        </is>
      </c>
      <c r="B18" s="44" t="inlineStr">
        <is>
          <t>Mature</t>
        </is>
      </c>
      <c r="C18" s="40" t="n">
        <v>1</v>
      </c>
      <c r="D18" s="40" t="n">
        <v>1</v>
      </c>
      <c r="E18" s="41" t="n">
        <v>0</v>
      </c>
      <c r="F18" s="40" t="n">
        <v>1</v>
      </c>
      <c r="G18" s="40" t="n">
        <v>1</v>
      </c>
      <c r="H18" s="40" t="n">
        <v>1</v>
      </c>
      <c r="I18" s="40" t="n">
        <v>1</v>
      </c>
      <c r="J18" s="40" t="n">
        <v>1</v>
      </c>
      <c r="K18" s="40" t="n">
        <v>1</v>
      </c>
      <c r="L18" s="40" t="n">
        <v>1</v>
      </c>
      <c r="M18" s="41" t="n">
        <v>0</v>
      </c>
      <c r="N18" s="41" t="n">
        <v>0</v>
      </c>
      <c r="O18" s="40" t="n">
        <v>1</v>
      </c>
      <c r="P18" s="41" t="n">
        <v>0</v>
      </c>
      <c r="Q18" s="41" t="n">
        <v>0</v>
      </c>
      <c r="R18" s="41" t="n">
        <v>0</v>
      </c>
      <c r="S18" s="41" t="n">
        <v>0</v>
      </c>
      <c r="T18" s="40" t="n">
        <v>1</v>
      </c>
      <c r="U18" s="40" t="n">
        <v>1</v>
      </c>
      <c r="V18" s="40" t="n">
        <v>1</v>
      </c>
      <c r="W18" s="42">
        <f>SUM(C18:V18)</f>
        <v/>
      </c>
    </row>
    <row r="19" ht="15" customHeight="1" s="30">
      <c r="A19" s="38" t="inlineStr">
        <is>
          <t>Atlassian</t>
        </is>
      </c>
      <c r="B19" s="44" t="inlineStr">
        <is>
          <t>Mature</t>
        </is>
      </c>
      <c r="C19" s="40" t="n">
        <v>1</v>
      </c>
      <c r="D19" s="40" t="n">
        <v>1</v>
      </c>
      <c r="E19" s="41" t="n">
        <v>0</v>
      </c>
      <c r="F19" s="40" t="n">
        <v>1</v>
      </c>
      <c r="G19" s="40" t="n">
        <v>1</v>
      </c>
      <c r="H19" s="40" t="n">
        <v>1</v>
      </c>
      <c r="I19" s="40" t="n">
        <v>1</v>
      </c>
      <c r="J19" s="40" t="n">
        <v>1</v>
      </c>
      <c r="K19" s="40" t="n">
        <v>1</v>
      </c>
      <c r="L19" s="40" t="n">
        <v>1</v>
      </c>
      <c r="M19" s="41" t="n">
        <v>0</v>
      </c>
      <c r="N19" s="41" t="n">
        <v>0</v>
      </c>
      <c r="O19" s="41" t="n">
        <v>0</v>
      </c>
      <c r="P19" s="41" t="n">
        <v>0</v>
      </c>
      <c r="Q19" s="41" t="n">
        <v>0</v>
      </c>
      <c r="R19" s="40" t="n">
        <v>1</v>
      </c>
      <c r="S19" s="41" t="n">
        <v>0</v>
      </c>
      <c r="T19" s="40" t="n">
        <v>1</v>
      </c>
      <c r="U19" s="40" t="n">
        <v>1</v>
      </c>
      <c r="V19" s="40" t="n">
        <v>1</v>
      </c>
      <c r="W19" s="42">
        <f>SUM(C19:V19)</f>
        <v/>
      </c>
    </row>
    <row r="20" ht="15" customHeight="1" s="30">
      <c r="A20" s="38" t="inlineStr">
        <is>
          <t>Twilio</t>
        </is>
      </c>
      <c r="B20" s="44" t="inlineStr">
        <is>
          <t>Mature</t>
        </is>
      </c>
      <c r="C20" s="40" t="n">
        <v>1</v>
      </c>
      <c r="D20" s="40" t="n">
        <v>1</v>
      </c>
      <c r="E20" s="41" t="n">
        <v>0</v>
      </c>
      <c r="F20" s="40" t="n">
        <v>1</v>
      </c>
      <c r="G20" s="40" t="n">
        <v>1</v>
      </c>
      <c r="H20" s="41" t="n">
        <v>0</v>
      </c>
      <c r="I20" s="40" t="n">
        <v>1</v>
      </c>
      <c r="J20" s="40" t="n">
        <v>1</v>
      </c>
      <c r="K20" s="40" t="n">
        <v>1</v>
      </c>
      <c r="L20" s="40" t="n">
        <v>1</v>
      </c>
      <c r="M20" s="41" t="n">
        <v>0</v>
      </c>
      <c r="N20" s="40" t="n">
        <v>1</v>
      </c>
      <c r="O20" s="40" t="n">
        <v>1</v>
      </c>
      <c r="P20" s="41" t="n">
        <v>0</v>
      </c>
      <c r="Q20" s="41" t="n">
        <v>0</v>
      </c>
      <c r="R20" s="40" t="n">
        <v>1</v>
      </c>
      <c r="S20" s="41" t="n">
        <v>0</v>
      </c>
      <c r="T20" s="41" t="n">
        <v>0</v>
      </c>
      <c r="U20" s="40" t="n">
        <v>1</v>
      </c>
      <c r="V20" s="40" t="n">
        <v>1</v>
      </c>
      <c r="W20" s="42">
        <f>SUM(C20:V20)</f>
        <v/>
      </c>
    </row>
    <row r="21" ht="15" customHeight="1" s="30">
      <c r="A21" s="38" t="inlineStr">
        <is>
          <t>Buttondown</t>
        </is>
      </c>
      <c r="B21" s="39" t="inlineStr">
        <is>
          <t>Early</t>
        </is>
      </c>
      <c r="C21" s="40" t="n">
        <v>1</v>
      </c>
      <c r="D21" s="40" t="n">
        <v>1</v>
      </c>
      <c r="E21" s="41" t="n">
        <v>0</v>
      </c>
      <c r="F21" s="40" t="n">
        <v>1</v>
      </c>
      <c r="G21" s="40" t="n">
        <v>1</v>
      </c>
      <c r="H21" s="41" t="n">
        <v>0</v>
      </c>
      <c r="I21" s="40" t="n">
        <v>1</v>
      </c>
      <c r="J21" s="40" t="n">
        <v>1</v>
      </c>
      <c r="K21" s="40" t="n">
        <v>1</v>
      </c>
      <c r="L21" s="40" t="n">
        <v>1</v>
      </c>
      <c r="M21" s="41" t="n">
        <v>0</v>
      </c>
      <c r="N21" s="41" t="n">
        <v>0</v>
      </c>
      <c r="O21" s="41" t="n">
        <v>0</v>
      </c>
      <c r="P21" s="41" t="n">
        <v>0</v>
      </c>
      <c r="Q21" s="41" t="n">
        <v>0</v>
      </c>
      <c r="R21" s="41" t="n">
        <v>0</v>
      </c>
      <c r="S21" s="40" t="n">
        <v>1</v>
      </c>
      <c r="T21" s="41" t="n">
        <v>0</v>
      </c>
      <c r="U21" s="40" t="n">
        <v>1</v>
      </c>
      <c r="V21" s="40" t="n">
        <v>1</v>
      </c>
      <c r="W21" s="42">
        <f>SUM(C21:V21)</f>
        <v/>
      </c>
    </row>
    <row r="22" ht="15" customHeight="1" s="30">
      <c r="A22" s="38" t="inlineStr">
        <is>
          <t>Plausible Analytics</t>
        </is>
      </c>
      <c r="B22" s="39" t="inlineStr">
        <is>
          <t>Early</t>
        </is>
      </c>
      <c r="C22" s="40" t="n">
        <v>1</v>
      </c>
      <c r="D22" s="40" t="n">
        <v>1</v>
      </c>
      <c r="E22" s="40" t="n">
        <v>1</v>
      </c>
      <c r="F22" s="40" t="n">
        <v>1</v>
      </c>
      <c r="G22" s="40" t="n">
        <v>1</v>
      </c>
      <c r="H22" s="40" t="n">
        <v>1</v>
      </c>
      <c r="I22" s="40" t="n">
        <v>1</v>
      </c>
      <c r="J22" s="40" t="n">
        <v>1</v>
      </c>
      <c r="K22" s="40" t="n">
        <v>1</v>
      </c>
      <c r="L22" s="40" t="n">
        <v>1</v>
      </c>
      <c r="M22" s="40" t="n">
        <v>1</v>
      </c>
      <c r="N22" s="41" t="n">
        <v>0</v>
      </c>
      <c r="O22" s="41" t="n">
        <v>0</v>
      </c>
      <c r="P22" s="40" t="n">
        <v>1</v>
      </c>
      <c r="Q22" s="41" t="n">
        <v>0</v>
      </c>
      <c r="R22" s="40" t="n">
        <v>1</v>
      </c>
      <c r="S22" s="40" t="n">
        <v>1</v>
      </c>
      <c r="T22" s="41" t="n">
        <v>0</v>
      </c>
      <c r="U22" s="40" t="n">
        <v>1</v>
      </c>
      <c r="V22" s="40" t="n">
        <v>1</v>
      </c>
      <c r="W22" s="42">
        <f>SUM(C22:V22)</f>
        <v/>
      </c>
    </row>
    <row r="23" ht="15" customHeight="1" s="30">
      <c r="A23" s="36" t="inlineStr">
        <is>
          <t>TOTAL PRESENT</t>
        </is>
      </c>
      <c r="B23" s="45" t="n"/>
      <c r="C23" s="46">
        <f>SUM(C2:C22)</f>
        <v/>
      </c>
      <c r="D23" s="46">
        <f>SUM(D2:D22)</f>
        <v/>
      </c>
      <c r="E23" s="46">
        <f>SUM(E2:E22)</f>
        <v/>
      </c>
      <c r="F23" s="46">
        <f>SUM(F2:F22)</f>
        <v/>
      </c>
      <c r="G23" s="46">
        <f>SUM(G2:G22)</f>
        <v/>
      </c>
      <c r="H23" s="46">
        <f>SUM(H2:H22)</f>
        <v/>
      </c>
      <c r="I23" s="46">
        <f>SUM(I2:I22)</f>
        <v/>
      </c>
      <c r="J23" s="46">
        <f>SUM(J2:J22)</f>
        <v/>
      </c>
      <c r="K23" s="46">
        <f>SUM(K2:K22)</f>
        <v/>
      </c>
      <c r="L23" s="46">
        <f>SUM(L2:L22)</f>
        <v/>
      </c>
      <c r="M23" s="46">
        <f>SUM(M2:M22)</f>
        <v/>
      </c>
      <c r="N23" s="46">
        <f>SUM(N2:N22)</f>
        <v/>
      </c>
      <c r="O23" s="46">
        <f>SUM(O2:O22)</f>
        <v/>
      </c>
      <c r="P23" s="46">
        <f>SUM(P2:P22)</f>
        <v/>
      </c>
      <c r="Q23" s="46">
        <f>SUM(Q2:Q22)</f>
        <v/>
      </c>
      <c r="R23" s="46">
        <f>SUM(R2:R22)</f>
        <v/>
      </c>
      <c r="S23" s="46">
        <f>SUM(S2:S22)</f>
        <v/>
      </c>
      <c r="T23" s="46">
        <f>SUM(T2:T22)</f>
        <v/>
      </c>
      <c r="U23" s="46">
        <f>SUM(U2:U22)</f>
        <v/>
      </c>
      <c r="V23" s="46">
        <f>SUM(V2:V22)</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70AD47"/>
    <outlinePr summaryBelow="1" summaryRight="1"/>
    <pageSetUpPr fitToPage="0"/>
  </sheetPr>
  <dimension ref="A1:U22"/>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customHeight="1" zeroHeight="0" outlineLevelRow="0"/>
  <cols>
    <col width="20" customWidth="1" style="29" min="1" max="1"/>
    <col width="40" customWidth="1" style="29" min="2" max="21"/>
  </cols>
  <sheetData>
    <row r="1" ht="15" customHeight="1" s="30">
      <c r="A1" s="36" t="inlineStr">
        <is>
          <t>Company</t>
        </is>
      </c>
      <c r="B1" s="47" t="inlineStr">
        <is>
          <t>is_working</t>
        </is>
      </c>
      <c r="C1" s="47" t="inlineStr">
        <is>
          <t>language</t>
        </is>
      </c>
      <c r="D1" s="47" t="inlineStr">
        <is>
          <t>operation_country</t>
        </is>
      </c>
      <c r="E1" s="47" t="inlineStr">
        <is>
          <t>main_product_type</t>
        </is>
      </c>
      <c r="F1" s="47" t="inlineStr">
        <is>
          <t>pricing_information</t>
        </is>
      </c>
      <c r="G1" s="47" t="inlineStr">
        <is>
          <t>industries</t>
        </is>
      </c>
      <c r="H1" s="47" t="inlineStr">
        <is>
          <t>key_features</t>
        </is>
      </c>
      <c r="I1" s="47" t="inlineStr">
        <is>
          <t>is_launched</t>
        </is>
      </c>
      <c r="J1" s="47" t="inlineStr">
        <is>
          <t>product_category</t>
        </is>
      </c>
      <c r="K1" s="47" t="inlineStr">
        <is>
          <t>used_by</t>
        </is>
      </c>
      <c r="L1" s="47" t="inlineStr">
        <is>
          <t>number_of_employees</t>
        </is>
      </c>
      <c r="M1" s="47" t="inlineStr">
        <is>
          <t>Featured_in</t>
        </is>
      </c>
      <c r="N1" s="47" t="inlineStr">
        <is>
          <t>Press_releases</t>
        </is>
      </c>
      <c r="O1" s="47" t="inlineStr">
        <is>
          <t>backing_funds</t>
        </is>
      </c>
      <c r="P1" s="47" t="inlineStr">
        <is>
          <t>Patents</t>
        </is>
      </c>
      <c r="Q1" s="47" t="inlineStr">
        <is>
          <t>customers_served</t>
        </is>
      </c>
      <c r="R1" s="47" t="inlineStr">
        <is>
          <t>Competitors</t>
        </is>
      </c>
      <c r="S1" s="47" t="inlineStr">
        <is>
          <t>conferences_attendance</t>
        </is>
      </c>
      <c r="T1" s="47" t="inlineStr">
        <is>
          <t>is_people_based_service</t>
        </is>
      </c>
      <c r="U1" s="47" t="inlineStr">
        <is>
          <t>is_capital_intensive</t>
        </is>
      </c>
    </row>
    <row r="2" ht="91" customHeight="1" s="30">
      <c r="A2" s="38" t="inlineStr">
        <is>
          <t>Resend</t>
        </is>
      </c>
      <c r="B2" s="32" t="inlineStr">
        <is>
          <t>Yes - site loads, 'All systems operational' badge in footer</t>
        </is>
      </c>
      <c r="C2" s="32" t="inlineStr">
        <is>
          <t>English</t>
        </is>
      </c>
      <c r="D2" s="32" t="inlineStr">
        <is>
          <t>US - '2261 Market Street #5039, San Francisco, CA 94114' in footer</t>
        </is>
      </c>
      <c r="E2" s="32" t="inlineStr">
        <is>
          <t>Email API for developers - 'Deliver transactional and marketing emails at scale'</t>
        </is>
      </c>
      <c r="F2" s="32" t="inlineStr">
        <is>
          <t>Free ($0/mo, 3K emails), Pro ($20/mo, 50K emails, extra $0.90/1K), Scale ($90/mo, 100K emails, extra $0.90/1K), Enterprise (custom). Toggle for Transactional vs Marketing emails.</t>
        </is>
      </c>
      <c r="G2" s="32" t="inlineStr">
        <is>
          <t>NOT explicitly listed on any page visited. No target industry/vertical section found.</t>
        </is>
      </c>
      <c r="H2" s="32" t="inlineStr">
        <is>
          <t>Email API with SDKs (Node/Python/Ruby/Go/Java/Elixir/PHP/.NET/Rust), React Email templates, Test Mode, Modular Webhooks, BIMI, Managed Dedicated IPs, Dynamic Suppression List, IP/Domain Monitoring, DKIM/SPF/DMARC, Contact Management, Broadcast Analytics, SOC 2, GDPR</t>
        </is>
      </c>
      <c r="I2" s="32" t="inlineStr">
        <is>
          <t>Yes - launched 2023, actively operating</t>
        </is>
      </c>
      <c r="J2" s="32" t="inlineStr">
        <is>
          <t>B2B / Developer-focused - 'Email for developers'</t>
        </is>
      </c>
      <c r="K2" s="32" t="inlineStr">
        <is>
          <t>Customer logos on homepage: Warner Bros., Max, Raycast, Mistral AI, Replit, Anghami, Gumroad, fal, Decathlon, Supabase, Leap, Payload. Testimonial from Guillermo Rauch (CEO at Vercel). Customers page exists in footer.</t>
        </is>
      </c>
      <c r="L2" s="32" t="inlineStr">
        <is>
          <t>~25-30 visible in team photo ('Resend Team at Florence Offsite 2025'). Fully remote team. 'Humans' page in footer.</t>
        </is>
      </c>
      <c r="M2" s="32" t="inlineStr">
        <is>
          <t>No 'As seen in' or 'Featured in' media section found on homepage or about page.</t>
        </is>
      </c>
      <c r="N2" s="32" t="inlineStr">
        <is>
          <t>Blog posts visible: 'Resend raises $18M Series A' (Dec 4, 2024), 'Resend + Y Combinator' (Feb 1, 2023), 'Introducing Resend' (Jan 4, 2023). Blog link in footer.</t>
        </is>
      </c>
      <c r="O2" s="32" t="inlineStr">
        <is>
          <t>'Backed by Y Combinator' visible in footer with YC logo. Series A blog post image shows logos that appear to include Basecase.</t>
        </is>
      </c>
      <c r="P2" s="32" t="inlineStr">
        <is>
          <t>No mention of patents found on any page visited.</t>
        </is>
      </c>
      <c r="Q2" s="32" t="inlineStr">
        <is>
          <t>No specific number like 'X customers' or 'X companies' found on homepage or about page. Customers page exists but not visited.</t>
        </is>
      </c>
      <c r="R2" s="32" t="inlineStr">
        <is>
          <t>No comparison pages or 'vs' content found on site.</t>
        </is>
      </c>
      <c r="S2" s="32" t="inlineStr">
        <is>
          <t>'Events' link in footer exists but not verified. No conferences mentioned on homepage or about page.</t>
        </is>
      </c>
      <c r="T2" s="32" t="inlineStr">
        <is>
          <t>No - pure software/API product. 'We are a team of engineers who love building tools for other engineers.'</t>
        </is>
      </c>
      <c r="U2" s="32" t="inlineStr">
        <is>
          <t>No obvious capital intensity. Cloud-based email infrastructure.</t>
        </is>
      </c>
    </row>
    <row r="3" ht="79.84999999999999" customHeight="1" s="30">
      <c r="A3" s="38" t="inlineStr">
        <is>
          <t>Mintlify</t>
        </is>
      </c>
      <c r="B3" s="32" t="inlineStr">
        <is>
          <t>Yes - 'All systems normal' badge in footer</t>
        </is>
      </c>
      <c r="C3" s="32" t="inlineStr">
        <is>
          <t>English</t>
        </is>
      </c>
      <c r="D3" s="32" t="inlineStr">
        <is>
          <t>No address or HQ location found on homepage or footer. Only '© 2026 Mintlify, Inc.'</t>
        </is>
      </c>
      <c r="E3" s="32" t="inlineStr">
        <is>
          <t>The Intelligent Knowledge Platform - documentation built for both humans and AI</t>
        </is>
      </c>
      <c r="F3" s="32" t="inlineStr">
        <is>
          <t>Hobby ($0, individuals), Pro ($250/mo, startups - POPULAR), Enterprise (Contact us). 14-day free trial. Monthly/Yearly toggle (15% annual discount). Features: Full platform, Custom domain, Web editor, API playground, Custom components, LLM optimizations, AI Assistant, Preview deployments, SSO, 99...</t>
        </is>
      </c>
      <c r="G3" s="32" t="inlineStr">
        <is>
          <t>'Unlock knowledge for any industry - From frontier AI companies to consumer brands' on homepage</t>
        </is>
      </c>
      <c r="H3" s="32" t="inlineStr">
        <is>
          <t>LLMS.TXT &amp; MCP support, Self-updating knowledge management (Agent), Web editor, Custom components, API playground, LLM optimizations, AI Assistant, Preview deployments, Custom authentication, SSO, Custom domain, Styling checks</t>
        </is>
      </c>
      <c r="I3" s="32" t="inlineStr">
        <is>
          <t>Yes - fully launched, active product</t>
        </is>
      </c>
      <c r="J3" s="32" t="inlineStr">
        <is>
          <t>B2B / Developer-focused - 'Startups' and 'Enterprise' segments on pricing</t>
        </is>
      </c>
      <c r="K3" s="32" t="inlineStr">
        <is>
          <t>Customer logos: Anthropic, Coinbase, Microsoft, Perplexity, HubSpot, X (Twitter), PayPal, Lovable, Zapier, AT&amp;T. Customer stories section. 'Wall of Love' page in footer.</t>
        </is>
      </c>
      <c r="L3" s="32" t="inlineStr">
        <is>
          <t>No team page or employee count found. Only 'Careers' link in footer.</t>
        </is>
      </c>
      <c r="M3" s="32" t="inlineStr">
        <is>
          <t>No 'As seen in' or 'Featured in' media section found.</t>
        </is>
      </c>
      <c r="N3" s="32" t="inlineStr">
        <is>
          <t>Blog link in nav and footer</t>
        </is>
      </c>
      <c r="O3" s="32" t="inlineStr">
        <is>
          <t>No investor or VC mentions found on homepage or footer. No 'Backed by' section (only 'Backed By Enterprise-Grade Security' with SOC II badge).</t>
        </is>
      </c>
      <c r="P3" s="32" t="inlineStr">
        <is>
          <t>No patent mentions found</t>
        </is>
      </c>
      <c r="Q3" s="32" t="inlineStr">
        <is>
          <t>'2M+ Monthly active developers' metric on homepage (from Anthropic customer story card)</t>
        </is>
      </c>
      <c r="R3" s="32" t="inlineStr">
        <is>
          <t>No comparison pages found. 'Switch' link in footer (from other docs platforms).</t>
        </is>
      </c>
      <c r="S3" s="32" t="inlineStr">
        <is>
          <t>No conference mentions found</t>
        </is>
      </c>
      <c r="T3" s="32" t="inlineStr">
        <is>
          <t>No - pure software/documentation platform</t>
        </is>
      </c>
      <c r="U3" s="32" t="inlineStr">
        <is>
          <t>No - cloud SaaS</t>
        </is>
      </c>
    </row>
    <row r="4" ht="79.84999999999999" customHeight="1" s="30">
      <c r="A4" s="38" t="inlineStr">
        <is>
          <t>Cal.com</t>
        </is>
      </c>
      <c r="B4" s="32" t="inlineStr">
        <is>
          <t>Yes - 'All Systems Operational' badge in footer</t>
        </is>
      </c>
      <c r="C4" s="32" t="inlineStr">
        <is>
          <t>English (language selector visible in footer)</t>
        </is>
      </c>
      <c r="D4" s="32" t="inlineStr">
        <is>
          <t>No physical address or HQ location found on homepage or footer. Only 'Cal.com, Inc.'</t>
        </is>
      </c>
      <c r="E4" s="32" t="inlineStr">
        <is>
          <t>Open scheduling infrastructure - 'A fully customizable scheduling software for individuals, businesses taking calls and developers building scheduling platforms'</t>
        </is>
      </c>
      <c r="F4" s="32" t="inlineStr">
        <is>
          <t>Individuals (Free, forever - 1 user, unlimited calendars/event types), Teams ($15/user/mo, 14-day trial - round-robin, team scheduling), Organizations ($37/user/mo, 14-day trial - sub-teams, workflows, HRIS sync, active directory), Enterprise (Contact us - dedicated database, advanced routing)</t>
        </is>
      </c>
      <c r="G4" s="32" t="inlineStr">
        <is>
          <t>Use Cases in footer: Sales, Marketing, Talent Acquisition, Customer Support, Higher Education, Telehealth, Professional Services, Hiring Marketplace, Human Resources, Tutoring, C-suite, Law</t>
        </is>
      </c>
      <c r="H4" s="32" t="inlineStr">
        <is>
          <t>Meeting scheduling, booking limits/buffers, custom booking links, Cal.ai (AI Phone Agent), round-robin routing, team scheduling, Cal.com Atoms (embeddable components), workflows, payments integration, video conferencing, routing, self-hosting (Docker/Github), Enterprise API, App Store, iOS/Androi...</t>
        </is>
      </c>
      <c r="I4" s="32" t="inlineStr">
        <is>
          <t>Yes - v6.1 launched, 'Cal.com launches v6.1' banner on homepage</t>
        </is>
      </c>
      <c r="J4" s="32" t="inlineStr">
        <is>
          <t>B2B + B2C - individuals free, teams/organizations/enterprise paid tiers</t>
        </is>
      </c>
      <c r="K4" s="32" t="inlineStr">
        <is>
          <t>'Trusted by fast-growing companies around the world' - logos: Framer, Ramp, PlanetScale, Mercury, Coinbase. Trustpilot/Product Hunt/G2/Google ratings visible.</t>
        </is>
      </c>
      <c r="L4" s="32" t="inlineStr">
        <is>
          <t>No team page or employee count visible. Jobs and About pages linked in footer.</t>
        </is>
      </c>
      <c r="M4" s="32" t="inlineStr">
        <is>
          <t>No 'As seen in' or 'Featured in' media section found. Review platform badges (Trustpilot, G2) present but not media mentions.</t>
        </is>
      </c>
      <c r="N4" s="32" t="inlineStr">
        <is>
          <t>Blog link in footer under Resources. Changelog link under Company.</t>
        </is>
      </c>
      <c r="O4" s="32" t="inlineStr">
        <is>
          <t>No investor or VC mentions found on homepage, pricing, or footer.</t>
        </is>
      </c>
      <c r="P4" s="32" t="inlineStr">
        <is>
          <t>No patent mentions found.</t>
        </is>
      </c>
      <c r="Q4" s="32" t="inlineStr">
        <is>
          <t>Mission statement: 'Our mission is to connect a billion people by 2031 through calendar scheduling.' No specific current customer count.</t>
        </is>
      </c>
      <c r="R4" s="32" t="inlineStr">
        <is>
          <t>'Cal.com vs Calendly' link visible in footer under Resources.</t>
        </is>
      </c>
      <c r="S4" s="32" t="inlineStr">
        <is>
          <t>No conference or event mentions found on visited pages.</t>
        </is>
      </c>
      <c r="T4" s="32" t="inlineStr">
        <is>
          <t>No - pure software platform with self-hosting option. Open source.</t>
        </is>
      </c>
      <c r="U4" s="32" t="inlineStr">
        <is>
          <t>No - cloud SaaS with self-hosting option. Open source core.</t>
        </is>
      </c>
    </row>
    <row r="5" ht="57.45" customHeight="1" s="30">
      <c r="A5" s="38" t="inlineStr">
        <is>
          <t>Loops</t>
        </is>
      </c>
      <c r="B5" s="32" t="inlineStr">
        <is>
          <t>Yes - 'All systems operational' badge in footer</t>
        </is>
      </c>
      <c r="C5" s="32" t="inlineStr">
        <is>
          <t>English</t>
        </is>
      </c>
      <c r="D5" s="32" t="inlineStr">
        <is>
          <t>No physical address found. '© 2026 Astrodon Inc.' in footer only.</t>
        </is>
      </c>
      <c r="E5" s="32" t="inlineStr">
        <is>
          <t>Email platform for SaaS - 'Send your product, marketing, and transactional email with Loops'</t>
        </is>
      </c>
      <c r="F5" s="32" t="inlineStr">
        <is>
          <t>Usage-based slider pricing. Free (up to 4K sends/mo, all features, 'Powered by Loops' footer). Paid plans scale with subscriber count. Custom solutions available via 'Contact us'. All features included at every tier.</t>
        </is>
      </c>
      <c r="G5" s="32" t="inlineStr">
        <is>
          <t>No explicit industry/vertical targeting found. Tagline 'for modern software companies' implies SaaS focus but no verticals listed.</t>
        </is>
      </c>
      <c r="H5" s="32" t="inlineStr">
        <is>
          <t>Campaigns, Loops (automated sequences), Templates, Transactional emails, Audience management, Forms, Bounce doctor, Email editor (design-first), Engineering blog, API/SDKs</t>
        </is>
      </c>
      <c r="I5" s="32" t="inlineStr">
        <is>
          <t>Yes - fully launched and operational</t>
        </is>
      </c>
      <c r="J5" s="32" t="inlineStr">
        <is>
          <t>B2B / SaaS-focused - 'The email platform built for SaaS'</t>
        </is>
      </c>
      <c r="K5" s="32" t="inlineStr">
        <is>
          <t>Customer logos: Clerk, Replicate, Linear, Perplexity, Granola, Copilot, Modal, Atlas, Cosmos, Framer, Spline, unDraw, Graphy, Flatfile. Customers page in footer.</t>
        </is>
      </c>
      <c r="L5" s="32" t="inlineStr">
        <is>
          <t>No team page or employee count. About us and Careers links in footer.</t>
        </is>
      </c>
      <c r="M5" s="32" t="inlineStr">
        <is>
          <t>No 'As seen in' or 'Featured in' section found.</t>
        </is>
      </c>
      <c r="N5" s="32" t="inlineStr">
        <is>
          <t>Updates link in Company section of footer. Changelog in Product section.</t>
        </is>
      </c>
      <c r="O5" s="32" t="inlineStr">
        <is>
          <t>'Backed by Y Combinator' badge prominently at top of homepage.</t>
        </is>
      </c>
      <c r="P5" s="32" t="inlineStr">
        <is>
          <t>No patent mentions found.</t>
        </is>
      </c>
      <c r="Q5" s="32" t="inlineStr">
        <is>
          <t>No specific customer count or metric found.</t>
        </is>
      </c>
      <c r="R5" s="32" t="inlineStr">
        <is>
          <t>No comparison pages or 'vs' content found.</t>
        </is>
      </c>
      <c r="S5" s="32" t="inlineStr">
        <is>
          <t>No conference mentions found.</t>
        </is>
      </c>
      <c r="T5" s="32" t="inlineStr">
        <is>
          <t>No - pure software/email platform</t>
        </is>
      </c>
      <c r="U5" s="32" t="inlineStr">
        <is>
          <t>No - cloud SaaS</t>
        </is>
      </c>
    </row>
    <row r="6" ht="79.84999999999999" customHeight="1" s="30">
      <c r="A6" s="38" t="inlineStr">
        <is>
          <t>Ashby</t>
        </is>
      </c>
      <c r="B6" s="32" t="inlineStr">
        <is>
          <t>Yes - site loads, Status link in footer</t>
        </is>
      </c>
      <c r="C6" s="32" t="inlineStr">
        <is>
          <t>English</t>
        </is>
      </c>
      <c r="D6" s="32" t="inlineStr">
        <is>
          <t>No physical address or HQ location found. '© 2026 Ashby, Inc.' only</t>
        </is>
      </c>
      <c r="E6" s="32" t="inlineStr">
        <is>
          <t>All-in-one recruiting platform (ATS) - 'The all-in-one recruiting platform that evolves at the speed of AI. Empowering ambitious teams from Startups to Enterprises.'</t>
        </is>
      </c>
      <c r="F6" s="32" t="inlineStr">
        <is>
          <t>All-In-One Foundations ($400/mo for 11-25 employees, up to 100 employees), All-In-One Plus (101-1000 employees, Get in Touch), All-In-One Enterprise (1000+ employees, Get in Touch), Ashby Analytics standalone (100+ employees, for existing ATS). Company size selector and monthly/annual toggle.</t>
        </is>
      </c>
      <c r="G6" s="32" t="inlineStr">
        <is>
          <t>No explicit industry verticals listed. Serves 'Startups to Enterprises' across hiring/recruiting.</t>
        </is>
      </c>
      <c r="H6" s="32" t="inlineStr">
        <is>
          <t>ATS (Applicant Tracking System), Scheduling, CRM (sourcing/candidate relationship), Analytics, AI-powered recruiting, Integrations, API, Product Updates</t>
        </is>
      </c>
      <c r="I6" s="32" t="inlineStr">
        <is>
          <t>Yes - fully launched, operational product with customers</t>
        </is>
      </c>
      <c r="J6" s="32" t="inlineStr">
        <is>
          <t>B2B - Startups (up to 100), Growth (101-1000), Enterprise (1000+) segments on pricing page</t>
        </is>
      </c>
      <c r="K6" s="32" t="inlineStr">
        <is>
          <t>Customer logos: Deel, Snowflake, Cursor, Shopify, Ramp, Notion, Linear, Vanta, Ironclad, Replit, Lemonade, Lime, Gorgias, UiPath, Clay, Harvey, Deliveroo, Zapier. Customers page in nav.</t>
        </is>
      </c>
      <c r="L6" s="32" t="inlineStr">
        <is>
          <t>Team page linked in footer. 'We're Hiring' with indicator in nav.</t>
        </is>
      </c>
      <c r="M6" s="32" t="inlineStr">
        <is>
          <t>No 'As seen in' or 'Featured in' media section found. G2 5-star rating badge in footer.</t>
        </is>
      </c>
      <c r="N6" s="32" t="inlineStr">
        <is>
          <t>Blog link in nav and footer. Product Updates in footer.</t>
        </is>
      </c>
      <c r="O6" s="32" t="inlineStr">
        <is>
          <t>No investor or VC mentions found on homepage, pricing, or footer.</t>
        </is>
      </c>
      <c r="P6" s="32" t="inlineStr">
        <is>
          <t>No patent mentions found.</t>
        </is>
      </c>
      <c r="Q6" s="32" t="inlineStr">
        <is>
          <t>No specific customer count or metric found on visited pages.</t>
        </is>
      </c>
      <c r="R6" s="32" t="inlineStr">
        <is>
          <t>3 comparison pages in footer: 'Ashby vs. Greenhouse', 'Ashby vs. Lever', 'Ashby vs. SmartRecruiters'. Also 'Migrating to Ashby' page.</t>
        </is>
      </c>
      <c r="S6" s="32" t="inlineStr">
        <is>
          <t>'Ashby One 2026 ticket sales are live' banner on homepage - own conference/event.</t>
        </is>
      </c>
      <c r="T6" s="32" t="inlineStr">
        <is>
          <t>No - pure software recruiting platform</t>
        </is>
      </c>
      <c r="U6" s="32" t="inlineStr">
        <is>
          <t>No - cloud SaaS</t>
        </is>
      </c>
    </row>
    <row r="7" ht="68.65000000000001" customHeight="1" s="30">
      <c r="A7" s="38" t="inlineStr">
        <is>
          <t>Vanta</t>
        </is>
      </c>
      <c r="B7" s="32" t="inlineStr">
        <is>
          <t>Yes - site loads, Support status link in footer</t>
        </is>
      </c>
      <c r="C7" s="32" t="inlineStr">
        <is>
          <t>English</t>
        </is>
      </c>
      <c r="D7" s="32" t="inlineStr">
        <is>
          <t>No physical address or HQ found. '© 2026 Vanta. All rights reserved' plus 'Modern Slavery Act Statement' suggests UK/global presence.</t>
        </is>
      </c>
      <c r="E7" s="32" t="inlineStr">
        <is>
          <t>Automated compliance and trust management platform - 'Automate compliance, manage risk, and accelerate trust with AI'</t>
        </is>
      </c>
      <c r="F7" s="32" t="inlineStr">
        <is>
          <t>4 tiers: Essentials, Plus, Professional (Most Popular), Enterprise. No public dollar amounts - all 'Request a demo'. Features scale with tier: Vanta AI Agent, Questionnaire Automation, advanced GRC needs.</t>
        </is>
      </c>
      <c r="G7" s="32" t="inlineStr">
        <is>
          <t>Solutions by segment: Startup, Mid-market, Enterprise. 15+ compliance frameworks: SOC 2, ISO 27001, ISO 42001, HIPAA, GDPR, CMMC, CJIS, NIS2, DORA, FedRAMP, EU AI Act, Cyber Essentials, and more.</t>
        </is>
      </c>
      <c r="H7" s="32" t="inlineStr">
        <is>
          <t>Automated evidence collection, continuous monitoring, Vanta AI Agent, agentic policy generator, Questionnaire Automation, Risk Management, Trust Center, Personnel and Access management, Integrations, Partner directories (service providers, auditors)</t>
        </is>
      </c>
      <c r="I7" s="32" t="inlineStr">
        <is>
          <t>Yes - fully launched, 14,000+ customers</t>
        </is>
      </c>
      <c r="J7" s="32" t="inlineStr">
        <is>
          <t>B2B - Startup to Enterprise segments</t>
        </is>
      </c>
      <c r="K7" s="32" t="inlineStr">
        <is>
          <t>'Trusted by 14,000+ customers, from startup to enterprise'. Logos: Ramp, Snowflake, Writer, Intercom, GitHub, Atlassian, Icelandair, Replit, Duolingo, Harvey, Pendo, Cognism, Golden State Warriors, Clay. Customer stories page.</t>
        </is>
      </c>
      <c r="L7" s="32" t="inlineStr">
        <is>
          <t>No team page or employee count found.</t>
        </is>
      </c>
      <c r="M7" s="32" t="inlineStr">
        <is>
          <t>No 'As seen in' or 'Featured in' media section found.</t>
        </is>
      </c>
      <c r="N7" s="32" t="inlineStr">
        <is>
          <t>Release notes link in footer under Customers section.</t>
        </is>
      </c>
      <c r="O7" s="32" t="inlineStr">
        <is>
          <t>No investor or VC mentions found on homepage, pricing, or footer.</t>
        </is>
      </c>
      <c r="P7" s="32" t="inlineStr">
        <is>
          <t>No patent mentions found.</t>
        </is>
      </c>
      <c r="Q7" s="32" t="inlineStr">
        <is>
          <t>'14,000+ customers' explicitly stated on homepage</t>
        </is>
      </c>
      <c r="R7" s="32" t="inlineStr">
        <is>
          <t>No comparison pages found in footer or navigation.</t>
        </is>
      </c>
      <c r="S7" s="32" t="inlineStr">
        <is>
          <t>No conference mentions found. Vanta Academy and Community exist.</t>
        </is>
      </c>
      <c r="T7" s="32" t="inlineStr">
        <is>
          <t>No - automated compliance platform with AI agents</t>
        </is>
      </c>
      <c r="U7" s="32" t="inlineStr">
        <is>
          <t>No - cloud SaaS</t>
        </is>
      </c>
    </row>
    <row r="8" ht="79.84999999999999" customHeight="1" s="30">
      <c r="A8" s="38" t="inlineStr">
        <is>
          <t>Linear</t>
        </is>
      </c>
      <c r="B8" s="32" t="inlineStr">
        <is>
          <t>Yes - site loads, Status link in footer</t>
        </is>
      </c>
      <c r="C8" s="32" t="inlineStr">
        <is>
          <t>English</t>
        </is>
      </c>
      <c r="D8" s="32" t="inlineStr">
        <is>
          <t>No physical address or HQ found. About page exists but not visited.</t>
        </is>
      </c>
      <c r="E8" s="32" t="inlineStr">
        <is>
          <t>Project management and issue tracking - 'A purpose-built tool for planning and building products. Streamline issues, projects, and product roadmaps.'</t>
        </is>
      </c>
      <c r="F8" s="32" t="inlineStr">
        <is>
          <t>Free ($0, unlimited members, 2 teams, 250 issues, Slack/GitHub, AI agents), Basic ($10/user/mo yearly, 5 teams, unlimited issues), Business ($16/user/mo yearly, Triage Intelligence, Insights, Linear Asks, SLAs), Enterprise (Contact us, SAML/SCIM, advanced security, migration support)</t>
        </is>
      </c>
      <c r="G8" s="32" t="inlineStr">
        <is>
          <t>No explicit industry/vertical listing. Targets software development teams broadly. Startups program exists.</t>
        </is>
      </c>
      <c r="H8" s="32" t="inlineStr">
        <is>
          <t>Issues, Projects, Initiatives, Roadmaps, Cycles, Views, Triage Intelligence, Linear Insights, Linear Asks, AI agents, Customer Requests, Mobile app, Integrations (Slack, GitHub, Zendesk, Intercom), Method framework, Security features</t>
        </is>
      </c>
      <c r="I8" s="32" t="inlineStr">
        <is>
          <t>Yes - fully launched. 'New: Linear Reviews (Beta)' banner shows active development.</t>
        </is>
      </c>
      <c r="J8" s="32" t="inlineStr">
        <is>
          <t>B2B / Developer + Product teams</t>
        </is>
      </c>
      <c r="K8" s="32" t="inlineStr">
        <is>
          <t>Customers page in nav. No customer logos visible on homepage hero (would need to scroll through homepage sections).</t>
        </is>
      </c>
      <c r="L8" s="32" t="inlineStr">
        <is>
          <t>No team page or employee count visible. Careers link in footer.</t>
        </is>
      </c>
      <c r="M8" s="32" t="inlineStr">
        <is>
          <t>No 'As seen in' or 'Featured in' media section found.</t>
        </is>
      </c>
      <c r="N8" s="32" t="inlineStr">
        <is>
          <t>Changelog, Now page in nav/footer. README page under Company.</t>
        </is>
      </c>
      <c r="O8" s="32" t="inlineStr">
        <is>
          <t>No investor or VC mentions found on homepage, pricing, or footer.</t>
        </is>
      </c>
      <c r="P8" s="32" t="inlineStr">
        <is>
          <t>No patent mentions found.</t>
        </is>
      </c>
      <c r="Q8" s="32" t="inlineStr">
        <is>
          <t>No customer count metric found on visited pages.</t>
        </is>
      </c>
      <c r="R8" s="32" t="inlineStr">
        <is>
          <t>No explicit comparison pages. 'Switch' link in footer implies migration from competitors.</t>
        </is>
      </c>
      <c r="S8" s="32" t="inlineStr">
        <is>
          <t>No conference mentions found.</t>
        </is>
      </c>
      <c r="T8" s="32" t="inlineStr">
        <is>
          <t>No - pure software platform</t>
        </is>
      </c>
      <c r="U8" s="32" t="inlineStr">
        <is>
          <t>No - cloud SaaS</t>
        </is>
      </c>
    </row>
    <row r="9" ht="79.84999999999999" customHeight="1" s="30">
      <c r="A9" s="38" t="inlineStr">
        <is>
          <t>Retool</t>
        </is>
      </c>
      <c r="B9" s="32" t="inlineStr">
        <is>
          <t>Yes - site loads, Status link in footer</t>
        </is>
      </c>
      <c r="C9" s="32" t="inlineStr">
        <is>
          <t>English</t>
        </is>
      </c>
      <c r="D9" s="32" t="inlineStr">
        <is>
          <t>No physical address found. '© RETOOL 2026' only.</t>
        </is>
      </c>
      <c r="E9" s="32" t="inlineStr">
        <is>
          <t>Low-code internal tools builder with AI - 'Build internal software better, with AI. From first prompt to full deployment.'</t>
        </is>
      </c>
      <c r="F9" s="32" t="inlineStr">
        <is>
          <t>Free ($0/builder + $0/user, 5 users, 500 workflows/mo, 5GB DB, 20hrs Agents), Team ($10/builder + $5/user, 5K workflows, staging, unlimited AI), Business ($50/builder + $15/user, audit logging, permissions, portals, custom branding), Enterprise (flexible - SAML/SSO, source control, white-labeling...</t>
        </is>
      </c>
      <c r="G9" s="32" t="inlineStr">
        <is>
          <t>Audience segments in footer: Data, Engineering, Operations, Financial services, Manufacturing, Enterprise, Startups, Agencies</t>
        </is>
      </c>
      <c r="H9" s="32" t="inlineStr">
        <is>
          <t>Agents (NEW), AI primitives (NEW), App builder, Mobile apps, Workflows, Database, External apps, Self-hosting, Templates, Integrations, Portals, Custom Branding, SAML/SSO, Source control</t>
        </is>
      </c>
      <c r="I9" s="32" t="inlineStr">
        <is>
          <t>Yes - fully launched</t>
        </is>
      </c>
      <c r="J9" s="32" t="inlineStr">
        <is>
          <t>B2B - Developer to Enterprise. Audience segments from startups to enterprise.</t>
        </is>
      </c>
      <c r="K9" s="32" t="inlineStr">
        <is>
          <t>Customer logos: Boeing, Adobe, DoorDash, OpenAI, Pernod Ricard, Orangetheory Fitness. Customer stories page in footer.</t>
        </is>
      </c>
      <c r="L9" s="32" t="inlineStr">
        <is>
          <t>About page exists but no team page or employee count visible. Careers link in footer.</t>
        </is>
      </c>
      <c r="M9" s="32" t="inlineStr">
        <is>
          <t>No 'As seen in' or 'Featured in' media section found.</t>
        </is>
      </c>
      <c r="N9" s="32" t="inlineStr">
        <is>
          <t>Newsroom link in Company footer section. Blog in Resources.</t>
        </is>
      </c>
      <c r="O9" s="32" t="inlineStr">
        <is>
          <t>No investor or VC mentions found.</t>
        </is>
      </c>
      <c r="P9" s="32" t="inlineStr">
        <is>
          <t>No patent mentions found.</t>
        </is>
      </c>
      <c r="Q9" s="32" t="inlineStr">
        <is>
          <t>No specific customer count metric found.</t>
        </is>
      </c>
      <c r="R9" s="32" t="inlineStr">
        <is>
          <t>No comparison pages found in footer or navigation.</t>
        </is>
      </c>
      <c r="S9" s="32" t="inlineStr">
        <is>
          <t>No conference mentions found.</t>
        </is>
      </c>
      <c r="T9" s="32" t="inlineStr">
        <is>
          <t>No - software platform with self-hosting option</t>
        </is>
      </c>
      <c r="U9" s="32" t="inlineStr">
        <is>
          <t>No - cloud SaaS with self-host option</t>
        </is>
      </c>
    </row>
    <row r="10" ht="68.65000000000001" customHeight="1" s="30">
      <c r="A10" s="38" t="inlineStr">
        <is>
          <t>dbt Labs</t>
        </is>
      </c>
      <c r="B10" s="32" t="inlineStr">
        <is>
          <t>Yes - site loads, System Status link in footer</t>
        </is>
      </c>
      <c r="C10" s="32" t="inlineStr">
        <is>
          <t>English</t>
        </is>
      </c>
      <c r="D10" s="32" t="inlineStr">
        <is>
          <t>No physical address found. '© 2026 dbt Labs, Inc.' only</t>
        </is>
      </c>
      <c r="E10" s="32" t="inlineStr">
        <is>
          <t>Data transformation platform - 'A unified platform for delivering trusted data' with dbt Fusion engine (30x faster performance)</t>
        </is>
      </c>
      <c r="F10" s="32" t="inlineStr">
        <is>
          <t>Developer (Free, 1 dev seat, 3K models/mo, 1 project), Starter ($100/user/mo, 5 dev seats, 15K models, 5K queried metrics), Enterprise (Custom pricing, 100K models, 20K metrics, 30 projects), Enterprise+ (Custom Pricing, unlimited projects, PrivateLink, IP Restrictions)</t>
        </is>
      </c>
      <c r="G10" s="32" t="inlineStr">
        <is>
          <t>No explicit industry verticals listed. Targets data/analytics teams broadly. Solutions menu exists but not verified.</t>
        </is>
      </c>
      <c r="H10" s="32" t="inlineStr">
        <is>
          <t>dbt Fusion engine, dbt Cloud IDE, dbt Copilot (AI), dbt Canvas (visual UX), dbt Semantic Layer, dbt Catalog, VS Code extension, Job scheduling, API access, Integrations, MFA, PrivateLink, IP Restrictions, Rollback, Hybrid projects</t>
        </is>
      </c>
      <c r="I10" s="32" t="inlineStr">
        <is>
          <t>Yes - fully launched, 5,400+ customers, merging with Fivetran</t>
        </is>
      </c>
      <c r="J10" s="32" t="inlineStr">
        <is>
          <t>B2B - Data engineering/analytics teams, from individual developers to enterprise</t>
        </is>
      </c>
      <c r="K10" s="32" t="inlineStr">
        <is>
          <t>Customer stories: M1 Finance (Kelly Wolinetz), WHOOP (Matt Luizzi). Case studies page in footer. 5,400 dbt customers, 60,000+ teams worldwide.</t>
        </is>
      </c>
      <c r="L10" s="32" t="inlineStr">
        <is>
          <t>No team page or count. Careers link with 'We're Hiring!' in footer.</t>
        </is>
      </c>
      <c r="M10" s="32" t="inlineStr">
        <is>
          <t>Named a Leader by Snowflake (Data Cloud Partner of the Year) and Databricks (Customer Impact Partner of the Year). 194% ROI finding from Forrester Research.</t>
        </is>
      </c>
      <c r="N10" s="32" t="inlineStr">
        <is>
          <t>Blog in footer, Press page under Company. Banner: 'dbt Labs and Fivetran sign definitive agreement to merge.'</t>
        </is>
      </c>
      <c r="O10" s="32" t="inlineStr">
        <is>
          <t>No investor or VC mentions found on homepage, pricing, or footer.</t>
        </is>
      </c>
      <c r="P10" s="32" t="inlineStr">
        <is>
          <t>No patent mentions found.</t>
        </is>
      </c>
      <c r="Q10" s="32" t="inlineStr">
        <is>
          <t>'5,400 dbt customers' and '60,000+ teams' on homepage metrics section. '97% customer satisfaction' rated 4.8/5 on G2.</t>
        </is>
      </c>
      <c r="R10" s="32" t="inlineStr">
        <is>
          <t>No comparison pages found.</t>
        </is>
      </c>
      <c r="S10" s="32" t="inlineStr">
        <is>
          <t>No conference mentions found on homepage. Community section exists with 100,000+ data professionals.</t>
        </is>
      </c>
      <c r="T10" s="32" t="inlineStr">
        <is>
          <t>No - software platform. Professional Services available separately.</t>
        </is>
      </c>
      <c r="U10" s="32" t="inlineStr">
        <is>
          <t>No - cloud SaaS with data transformation focus</t>
        </is>
      </c>
    </row>
    <row r="11" ht="91" customHeight="1" s="30">
      <c r="A11" s="38" t="inlineStr">
        <is>
          <t>PostHog</t>
        </is>
      </c>
      <c r="B11" s="32" t="inlineStr">
        <is>
          <t>Yes - site loads with unique desktop-style UI</t>
        </is>
      </c>
      <c r="C11" s="32" t="inlineStr">
        <is>
          <t>English</t>
        </is>
      </c>
      <c r="D11" s="32" t="inlineStr">
        <is>
          <t>No physical address found. US (Virginia) and EU (Frankfurt) cloud regions offered.</t>
        </is>
      </c>
      <c r="E11" s="32" t="inlineStr">
        <is>
          <t>Product OS - dev tools for product engineers. 'We make dev tools that help product engineers build successful products.'</t>
        </is>
      </c>
      <c r="F11" s="32" t="inlineStr">
        <is>
          <t>Usage-based, pay-per-use with generous free tiers. 98% of customers use free. Product Analytics: 1M events/mo free then $0.00005/event. Session Replay: 5K recordings/mo free then $0.005/recording. Feature Flags: 1M requests/mo free then $0.0001/request. Data Warehouse: 1M rows/mo free then $0.000...</t>
        </is>
      </c>
      <c r="G11" s="32" t="inlineStr">
        <is>
          <t>No explicit industry verticals. Segments by company stage: Startup/Side project, Growth, Scale.</t>
        </is>
      </c>
      <c r="H11" s="32" t="inlineStr">
        <is>
          <t>34 apps: PostHog AI, Session Replay, Web Analytics, Product Analytics, Error Tracking, Experiments, Feature Flags, Surveys, Logs, CDP, Workflows. Data warehouse (120+ sources/destinations), SQL editor, BI, data viz, User activity feed, API, webhooks. Supports Next.js, React, React Native, Svelte,...</t>
        </is>
      </c>
      <c r="I11" s="32" t="inlineStr">
        <is>
          <t>Yes - fully launched, open source</t>
        </is>
      </c>
      <c r="J11" s="32" t="inlineStr">
        <is>
          <t>B2B / Developer-focused - Product OS for product engineers</t>
        </is>
      </c>
      <c r="K11" s="32" t="inlineStr">
        <is>
          <t>'Who's using PostHog?' section with paying customers. customers.mdx file in sidebar. Shuffle companies feature. 'VCs love them, Product engineers love them.'</t>
        </is>
      </c>
      <c r="L11" s="32" t="inlineStr">
        <is>
          <t>No employee count. 'Work here' link, 'Company handbook' visible. 'Small teams at PostHog' mentioned.</t>
        </is>
      </c>
      <c r="M11" s="32" t="inlineStr">
        <is>
          <t>No 'As seen in' or 'Featured in' media section found.</t>
        </is>
      </c>
      <c r="N11" s="32" t="inlineStr">
        <is>
          <t>Changelog link visible on homepage sidebar. Blog exists.</t>
        </is>
      </c>
      <c r="O11" s="32" t="inlineStr">
        <is>
          <t>No investor or VC mentions found on homepage.</t>
        </is>
      </c>
      <c r="P11" s="32" t="inlineStr">
        <is>
          <t>No patent mentions found.</t>
        </is>
      </c>
      <c r="Q11" s="32" t="inlineStr">
        <is>
          <t>No specific customer count. '918 companies signed up today' appears as humorous marketing copy.</t>
        </is>
      </c>
      <c r="R11" s="32" t="inlineStr">
        <is>
          <t>No comparison pages found on homepage.</t>
        </is>
      </c>
      <c r="S11" s="32" t="inlineStr">
        <is>
          <t>No conference mentions found.</t>
        </is>
      </c>
      <c r="T11" s="32" t="inlineStr">
        <is>
          <t>No - open source software platform</t>
        </is>
      </c>
      <c r="U11" s="32" t="inlineStr">
        <is>
          <t>No - cloud SaaS with self-host option</t>
        </is>
      </c>
    </row>
    <row r="12" ht="79.84999999999999" customHeight="1" s="30">
      <c r="A12" s="38" t="inlineStr">
        <is>
          <t>Gong</t>
        </is>
      </c>
      <c r="B12" s="32" t="inlineStr">
        <is>
          <t>Yes - site loads</t>
        </is>
      </c>
      <c r="C12" s="32" t="inlineStr">
        <is>
          <t>English</t>
        </is>
      </c>
      <c r="D12" s="32" t="inlineStr">
        <is>
          <t>US - '201 Spear Street, 13th Floor, San Francisco, CA 94105' (from schema.org data). Legal name: Gong.io Ltd.</t>
        </is>
      </c>
      <c r="E12" s="32" t="inlineStr">
        <is>
          <t>Revenue AI OS - 'The #1 AI Operating System for Revenue Teams'</t>
        </is>
      </c>
      <c r="F12" s="32" t="inlineStr">
        <is>
          <t>No public pricing. Per-user licenses + platform fee based on users. Team sizes: 1-50, 51-1K, 1K-10K, 10K+. Form required for custom proposal.</t>
        </is>
      </c>
      <c r="G12" s="32" t="inlineStr">
        <is>
          <t>Technology (SaaS &amp; hardware), Financial services, Healthcare. Solutions hub exists.</t>
        </is>
      </c>
      <c r="H12" s="32" t="inlineStr">
        <is>
          <t>Gong Engage (sales engagement), Gong Forecast (revenue forecasting), Gong Agents (AI automation - follow-ups, pipeline edits, enablement triggers, forecast corrections), Gong Revenue Graph (data engine), Gong Collective (integrations/services). AI-powered conversation intelligence. Revenue AI.</t>
        </is>
      </c>
      <c r="I12" s="32" t="inlineStr">
        <is>
          <t>Yes - fully launched, founded 2015, 5,000+ customers</t>
        </is>
      </c>
      <c r="J12" s="32" t="inlineStr">
        <is>
          <t>B2B - Revenue teams (CRO, RevOps, Sales, Customer Success, Enablement)</t>
        </is>
      </c>
      <c r="K12" s="32" t="inlineStr">
        <is>
          <t>5,000+ customers. Testimonials from: ADP (Matt McBreen VP Sales Enablement), HubSpot (Morgan Jacobson), LinkedIn (David Ellis), Uber for Business (Damir Zecevic), Sprout Social (Mike Wolff CRO), SurveyMonkey (Jeffrey Coleman VP CS). Fortune 10 companies.</t>
        </is>
      </c>
      <c r="L12" s="32" t="inlineStr">
        <is>
          <t>'2,000+' employees (from schema.org data on page)</t>
        </is>
      </c>
      <c r="M12" s="32" t="inlineStr">
        <is>
          <t>Leader in 2025 Gartner Magic Quadrant for Revenue Action Orchestration. 3x Forrester Wave Leader 2024. Gartner Peer Insights 4.8★. G2 Top 100 (4.8★, 6,200+ reviews). TrustRadius Top Rated 9.2★.</t>
        </is>
      </c>
      <c r="N12" s="32" t="inlineStr">
        <is>
          <t>Blog/resources visible. Press announcements: Gartner MQ leadership, product announcements, State of Revenue AI 2026 report.</t>
        </is>
      </c>
      <c r="O12" s="32" t="inlineStr">
        <is>
          <t>No investor or VC mentions found on homepage or pricing.</t>
        </is>
      </c>
      <c r="P12" s="32" t="inlineStr">
        <is>
          <t>No patent mentions found.</t>
        </is>
      </c>
      <c r="Q12" s="32" t="inlineStr">
        <is>
          <t>'Trusted by 5,000+ customers'. Fortune 10 companies use Gong.</t>
        </is>
      </c>
      <c r="R12" s="32" t="inlineStr">
        <is>
          <t>No comparison pages found on homepage or pricing.</t>
        </is>
      </c>
      <c r="S12" s="32" t="inlineStr">
        <is>
          <t>No conference mentions found on homepage.</t>
        </is>
      </c>
      <c r="T12" s="32" t="inlineStr">
        <is>
          <t>No - AI-powered software platform with specialized agents</t>
        </is>
      </c>
      <c r="U12" s="32" t="inlineStr">
        <is>
          <t>No - cloud SaaS</t>
        </is>
      </c>
    </row>
    <row r="13" ht="79.84999999999999" customHeight="1" s="30">
      <c r="A13" s="38" t="inlineStr">
        <is>
          <t>Deel</t>
        </is>
      </c>
      <c r="B13" s="32" t="inlineStr">
        <is>
          <t>Yes - site loads</t>
        </is>
      </c>
      <c r="C13" s="32" t="inlineStr">
        <is>
          <t>English (EN language selector visible, multi-language support)</t>
        </is>
      </c>
      <c r="D13" s="32" t="inlineStr">
        <is>
          <t>No physical address on homepage. 150+ entities globally. International company.</t>
        </is>
      </c>
      <c r="E13" s="32" t="inlineStr">
        <is>
          <t>Global People Platform - payroll, HR, compliance for global teams. 'All-in-one Global People Platform that simplifies the way you onboard, offboard, and everything else in between.'</t>
        </is>
      </c>
      <c r="F13" s="32" t="inlineStr">
        <is>
          <t>Deel Payroll tab with: Deel EOR (Starting at $599/employee/mo), Deel Contractor Management (Starting at $49/contractor/mo), Deel Contractor of Record (Starting at $325/contractor/mo). Also Deel HR, Deel IT, Deel Services tabs. Company size selector: 1-20, 21-200, 201-1K, 1K-2K, 2001+.</t>
        </is>
      </c>
      <c r="G13" s="32" t="inlineStr">
        <is>
          <t>No explicit industry verticals listed. Serves 'startups to enterprise businesses.'</t>
        </is>
      </c>
      <c r="H13" s="32" t="inlineStr">
        <is>
          <t>Deel Payroll, Deel HR, Deel IT, Deel Services, Deel PEO, Deel US Payroll, Deel EOR (130+ countries), Deel Contractor Management, Deel Contractor of Record, Global Payroll, Continuous Compliance Hub, AI-powered performance/goals/learning, 100+ integrations. GDPR, SOC2, ISO 27001 compliant.</t>
        </is>
      </c>
      <c r="I13" s="32" t="inlineStr">
        <is>
          <t>Yes - fully launched, 35,000+ companies, 1.5M workers onboarded</t>
        </is>
      </c>
      <c r="J13" s="32" t="inlineStr">
        <is>
          <t>B2B - HR/Payroll/Compliance for global teams from startups to enterprise</t>
        </is>
      </c>
      <c r="K13" s="32" t="inlineStr">
        <is>
          <t>35,000+ companies. Testimonials from: ElevenLabs (Mati Staniszewski CEO), Airwallex (Jack Zhang CEO), Intercom (Des Taylor Co-Founder), Outreach (Stephen Epling VP). Customer stories: Turing (5,000+ contracts, 60+ countries).</t>
        </is>
      </c>
      <c r="L13" s="32" t="inlineStr">
        <is>
          <t>No employee count found. '200+ local legal experts' mentioned.</t>
        </is>
      </c>
      <c r="M13" s="32" t="inlineStr">
        <is>
          <t>No 'As seen in' or media mentions section found. G2 4.7/5 rating (6,262+ reviews) shown.</t>
        </is>
      </c>
      <c r="N13" s="32" t="inlineStr">
        <is>
          <t>Resources section in nav. Blog exists.</t>
        </is>
      </c>
      <c r="O13" s="32" t="inlineStr">
        <is>
          <t>No investor or VC mentions found on homepage or pricing.</t>
        </is>
      </c>
      <c r="P13" s="32" t="inlineStr">
        <is>
          <t>No patent mentions found.</t>
        </is>
      </c>
      <c r="Q13" s="32" t="inlineStr">
        <is>
          <t>'Trusted by 35,000+ companies'. '1.5M workers onboarded globally'. '$17.3B compliantly processed'. '40,000+ companies' in customer stories section.</t>
        </is>
      </c>
      <c r="R13" s="32" t="inlineStr">
        <is>
          <t>No comparison pages found.</t>
        </is>
      </c>
      <c r="S13" s="32" t="inlineStr">
        <is>
          <t>'THE BIG DEEL 2026 | MARCH 19' - own virtual event banner on homepage.</t>
        </is>
      </c>
      <c r="T13" s="32" t="inlineStr">
        <is>
          <t>Hybrid - software platform + professional services (200+ legal experts, dedicated support, entity setup services)</t>
        </is>
      </c>
      <c r="U13" s="32" t="inlineStr">
        <is>
          <t>Moderate - requires legal entities in 150+ countries, in-house payroll experts, legal infrastructure</t>
        </is>
      </c>
    </row>
    <row r="14" ht="79.84999999999999" customHeight="1" s="30">
      <c r="A14" s="38" t="inlineStr">
        <is>
          <t>Tines</t>
        </is>
      </c>
      <c r="B14" s="32" t="inlineStr">
        <is>
          <t>Yes - site loads</t>
        </is>
      </c>
      <c r="C14" s="32" t="inlineStr">
        <is>
          <t>English</t>
        </is>
      </c>
      <c r="D14" s="32" t="inlineStr">
        <is>
          <t>No physical address found. Irish company (Dublin-based). '© Tines' in footer. Federal page suggests US presence too.</t>
        </is>
      </c>
      <c r="E14" s="32" t="inlineStr">
        <is>
          <t>Intelligent workflow platform - 'Securely scale AI and automation. Integrate agents, teams, and tools with speed and control.'</t>
        </is>
      </c>
      <c r="F14" s="32" t="inlineStr">
        <is>
          <t>Community Edition (Always free, 3 builders, 1 team, unlimited viewers, 3 flows, 5000 daily events). Paid plans (For businesses, more teams/flows/unlimited story runs, 'Get pricing' - no public dollar amounts).</t>
        </is>
      </c>
      <c r="G14" s="32" t="inlineStr">
        <is>
          <t>Solutions by team: Security, IT Operations, Infrastructure, Engineering, Product. Also: Federal, Enterprise, MSSPs, Financial Services, Partners.</t>
        </is>
      </c>
      <c r="H14" s="32" t="inlineStr">
        <is>
          <t>Storyboard (workflow builder), Cases (case management), Workbench (AI copilot), Build agents, AI in Tines, Build apps, Formulas, Monitoring. Vendor-agnostic integrations (LLMs, MCPs, internal tools). Professional services. Library of pre-built workflows.</t>
        </is>
      </c>
      <c r="I14" s="32" t="inlineStr">
        <is>
          <t>Yes - fully launched, multiple case studies and customers</t>
        </is>
      </c>
      <c r="J14" s="32" t="inlineStr">
        <is>
          <t>B2B - Security/IT automation platform for enterprises. 'Born in security.'</t>
        </is>
      </c>
      <c r="K14" s="32" t="inlineStr">
        <is>
          <t>Massive customer logo wall: ASOS, Canva, Coinbase, Databricks, Dropbox, Elastic, Experian, Hims, Kayak, Lucid Motors, Mars, McKesson, MongoDB, Notion, Pinterest, Plaid, Ripple, Reddit, SAP, Snowflake, Sophos, Sprinklr, Zendesk. Case studies: GitLab (750 days saved), Snowflake (10 hrs/day saved), ...</t>
        </is>
      </c>
      <c r="L14" s="32" t="inlineStr">
        <is>
          <t>No employee count. Careers link in footer.</t>
        </is>
      </c>
      <c r="M14" s="32" t="inlineStr">
        <is>
          <t>Forrester study mentioned: 'Unlocking AI's full value'. Voice of Security 2026 report (1800+ security pros). G2 4.8 stars (200+ reviews).</t>
        </is>
      </c>
      <c r="N14" s="32" t="inlineStr">
        <is>
          <t>Newsroom link in footer. Blog with 'What's new in Tines: January 2026 edition'. Product updates.</t>
        </is>
      </c>
      <c r="O14" s="32" t="inlineStr">
        <is>
          <t>No investor or VC mentions found.</t>
        </is>
      </c>
      <c r="P14" s="32" t="inlineStr">
        <is>
          <t>No patent mentions found.</t>
        </is>
      </c>
      <c r="Q14" s="32" t="inlineStr">
        <is>
          <t>No specific customer count metric found. Many logos but no number.</t>
        </is>
      </c>
      <c r="R14" s="32" t="inlineStr">
        <is>
          <t>No direct comparison pages. 'Switching from legacy SOAR' page exists.</t>
        </is>
      </c>
      <c r="S14" s="32" t="inlineStr">
        <is>
          <t>Events page in Resources. 'Builder Connect' events. Bootcamps. Workflow.live.</t>
        </is>
      </c>
      <c r="T14" s="32" t="inlineStr">
        <is>
          <t>No - software platform with professional services option</t>
        </is>
      </c>
      <c r="U14" s="32" t="inlineStr">
        <is>
          <t>No - cloud SaaS with self-hosting option</t>
        </is>
      </c>
    </row>
    <row r="15" ht="68.65000000000001" customHeight="1" s="30">
      <c r="A15" s="38" t="inlineStr">
        <is>
          <t>Vercel</t>
        </is>
      </c>
      <c r="B15" s="32" t="inlineStr">
        <is>
          <t>Yes - site loads</t>
        </is>
      </c>
      <c r="C15" s="32" t="inlineStr">
        <is>
          <t>English</t>
        </is>
      </c>
      <c r="D15" s="32" t="inlineStr">
        <is>
          <t>No physical address found. US company (San Francisco).</t>
        </is>
      </c>
      <c r="E15" s="32" t="inlineStr">
        <is>
          <t>AI Cloud platform - 'Vercel provides the developer tools and cloud infrastructure to build, scale, and secure a faster, more personalized web.'</t>
        </is>
      </c>
      <c r="F15" s="32" t="inlineStr">
        <is>
          <t>Hobby (Free forever, personal projects, CI/CD, WAF, CDN, Fluid compute, DDoS), Pro ($20/mo + usage, Popular, team collaboration, faster builds, cold start prevention), Enterprise (custom, 99.99% SLA, SCIM, Managed WAF, multi-region, advanced support).</t>
        </is>
      </c>
      <c r="G15" s="32" t="inlineStr">
        <is>
          <t>Solutions in nav: AI, Composable Commerce, Marketing Sites, Multi-tenant SaaS, Web Apps, Platform Engineering, Design Engineering.</t>
        </is>
      </c>
      <c r="H15" s="32" t="inlineStr">
        <is>
          <t>AI Cloud, v0 (AI code gen), AI SDK, AI Gateway, Agent, Sandbox, Previews, Rendering, Fluid Compute, Observability, Security (Bot Management, BotID, WAF), Next.js framework, CI/CD, CDN, DDoS Mitigation, Marketplace, Templates.</t>
        </is>
      </c>
      <c r="I15" s="32" t="inlineStr">
        <is>
          <t>Yes - fully launched, creators of Next.js framework</t>
        </is>
      </c>
      <c r="J15" s="32" t="inlineStr">
        <is>
          <t>B2B / Developer platform - from hobby to enterprise</t>
        </is>
      </c>
      <c r="K15" s="32" t="inlineStr">
        <is>
          <t>Customers page exists (/customers). Enterprise page mentions scale customers. Partners/solution partners page.</t>
        </is>
      </c>
      <c r="L15" s="32" t="inlineStr">
        <is>
          <t>No employee count. Careers link in footer.</t>
        </is>
      </c>
      <c r="M15" s="32" t="inlineStr">
        <is>
          <t>No 'As seen in' or media mentions section on homepage. Press page exists.</t>
        </is>
      </c>
      <c r="N15" s="32" t="inlineStr">
        <is>
          <t>Blog, Changelog, Press page in footer/nav.</t>
        </is>
      </c>
      <c r="O15" s="32" t="inlineStr">
        <is>
          <t>No investor mentions found on homepage or pricing.</t>
        </is>
      </c>
      <c r="P15" s="32" t="inlineStr">
        <is>
          <t>No patent mentions found.</t>
        </is>
      </c>
      <c r="Q15" s="32" t="inlineStr">
        <is>
          <t>No specific customer count. Customers page exists but not visited.</t>
        </is>
      </c>
      <c r="R15" s="32" t="inlineStr">
        <is>
          <t>No comparison pages found.</t>
        </is>
      </c>
      <c r="S15" s="32" t="inlineStr">
        <is>
          <t>Events page link in Resources nav menu.</t>
        </is>
      </c>
      <c r="T15" s="32" t="inlineStr">
        <is>
          <t>No - cloud infrastructure/developer platform</t>
        </is>
      </c>
      <c r="U15" s="32" t="inlineStr">
        <is>
          <t>Yes - cloud infrastructure with global CDN, compute, security (edge network)</t>
        </is>
      </c>
    </row>
    <row r="16" ht="79.84999999999999" customHeight="1" s="30">
      <c r="A16" s="38" t="inlineStr">
        <is>
          <t>HubSpot</t>
        </is>
      </c>
      <c r="B16" s="32" t="inlineStr">
        <is>
          <t>Yes - site loads</t>
        </is>
      </c>
      <c r="C16" s="32" t="inlineStr">
        <is>
          <t>English (language selector visible, multi-language support)</t>
        </is>
      </c>
      <c r="D16" s="32" t="inlineStr">
        <is>
          <t>No address on homepage. HubSpot is publicly traded US company (Cambridge, MA). 'over 135 countries' served.</t>
        </is>
      </c>
      <c r="E16" s="32" t="inlineStr">
        <is>
          <t>AI-powered Customer Platform - 'Unite marketing, sales, and customer service on one AI-powered customer platform that delivers results fast.'</t>
        </is>
      </c>
      <c r="F16" s="32" t="inlineStr">
        <is>
          <t>Marketing Hub: Starter ($15/mo/seat), Professional ($800/mo, 3 Core Seats), Enterprise ($3,600/mo, 5 Core Seats). Similar tiers for Sales, Service, Content, Data, Commerce Hubs. Platform Solutions include Customer Platform, Free Tools, HubSpot for Marketers. HubSpot Credits system. 14-day trials ...</t>
        </is>
      </c>
      <c r="G16" s="32" t="inlineStr">
        <is>
          <t>No explicit industry verticals on homepage. Case studies show Enterprise, Mid-Sized, Small Business segments.</t>
        </is>
      </c>
      <c r="H16" s="32" t="inlineStr">
        <is>
          <t>Marketing Hub, Sales Hub, Service Hub, Content Hub, Data Hub, Commerce Hub, Smart CRM, Breeze AI (Customer Agent, Prospecting Agent, Data Agent), 2,000+ integrations, HubSpot Credits, free tools available.</t>
        </is>
      </c>
      <c r="I16" s="32" t="inlineStr">
        <is>
          <t>Yes - mature public company, NYSE: HUBS, 278,000+ customers</t>
        </is>
      </c>
      <c r="J16" s="32" t="inlineStr">
        <is>
          <t>B2B - CRM/Marketing/Sales/Service platform for SMB to Enterprise</t>
        </is>
      </c>
      <c r="K16" s="32" t="inlineStr">
        <is>
          <t>278,000 customers in 135+ countries. Case studies: Unipart (Adam Jones), Angel City FC (Whitney Hallock), Youth on Course (John Mothershead). #1 in 526 G2 Reports.</t>
        </is>
      </c>
      <c r="L16" s="32" t="inlineStr">
        <is>
          <t>No employee count on homepage. Public company with 7,000+ employees (well-known).</t>
        </is>
      </c>
      <c r="M16" s="32" t="inlineStr">
        <is>
          <t>Voted #1 in 526 G2 Reports. Public company (NYSE: HUBS).</t>
        </is>
      </c>
      <c r="N16" s="32" t="inlineStr">
        <is>
          <t>Resources section in nav. Blog exists.</t>
        </is>
      </c>
      <c r="O16" s="32" t="inlineStr">
        <is>
          <t>Public company - no VC backing shown. NYSE: HUBS.</t>
        </is>
      </c>
      <c r="P16" s="32" t="inlineStr">
        <is>
          <t>No patent mentions found on homepage.</t>
        </is>
      </c>
      <c r="Q16" s="32" t="inlineStr">
        <is>
          <t>'278,000 customers in over 135 countries'</t>
        </is>
      </c>
      <c r="R16" s="32" t="inlineStr">
        <is>
          <t>No comparison pages found on homepage.</t>
        </is>
      </c>
      <c r="S16" s="32" t="inlineStr">
        <is>
          <t>No conference mentions on homepage. INBOUND conference is well-known but not visible.</t>
        </is>
      </c>
      <c r="T16" s="32" t="inlineStr">
        <is>
          <t>No - software platform with AI agents</t>
        </is>
      </c>
      <c r="U16" s="32" t="inlineStr">
        <is>
          <t>No - cloud SaaS</t>
        </is>
      </c>
    </row>
    <row r="17" ht="79.84999999999999" customHeight="1" s="30">
      <c r="A17" s="38" t="inlineStr">
        <is>
          <t>Cloudflare</t>
        </is>
      </c>
      <c r="B17" s="32" t="inlineStr">
        <is>
          <t>Yes - site loads. Sales phone: 01800 519 0085</t>
        </is>
      </c>
      <c r="C17" s="32" t="inlineStr">
        <is>
          <t>English (multi-language globe selector visible)</t>
        </is>
      </c>
      <c r="D17" s="32" t="inlineStr">
        <is>
          <t>US company. '330+ cities in 125+ countries, including mainland China'. Global connectivity cloud network.</t>
        </is>
      </c>
      <c r="E17" s="32" t="inlineStr">
        <is>
          <t>Connectivity cloud - 'We make websites, apps, AI agents, and networks faster and more secure. Our agile SASE platform accelerates safe AI adoption, and our developer platform is the best place to build, run, and deploy AI apps.'</t>
        </is>
      </c>
      <c r="F17" s="32" t="inlineStr">
        <is>
          <t>Pricing link in nav. 'Start for free' and 'Compare plans' CTAs visible. Free tier available.</t>
        </is>
      </c>
      <c r="G17" s="32" t="inlineStr">
        <is>
          <t>No explicit industry verticals listed on homepage. Use cases span all industries.</t>
        </is>
      </c>
      <c r="H17" s="32" t="inlineStr">
        <is>
          <t>60+ cloud services: Cloudflare One (SASE), WAF, DDoS (449 Tbps capacity), Bot Management, CDN, AI Security Suite, Developer Platform (Workers, serverless), AI agents framework, MCP servers, Zero Trust access, DNS, Media streaming, Storage, Databases. 330+ cities globally.</t>
        </is>
      </c>
      <c r="I17" s="32" t="inlineStr">
        <is>
          <t>Yes - publicly traded (NYSE: NET), massive infrastructure company</t>
        </is>
      </c>
      <c r="J17" s="32" t="inlineStr">
        <is>
          <t>B2B - Cloud infrastructure, security, and developer platform</t>
        </is>
      </c>
      <c r="K17" s="32" t="inlineStr">
        <is>
          <t>'Leading companies rely on Cloudflare'. Testimonials: Discord (Mark Smith), Zendesk (Nan Guo), Investec (Christopher Naidoo). '20% of all websites are protected by Cloudflare'.</t>
        </is>
      </c>
      <c r="L17" s="32" t="inlineStr">
        <is>
          <t>No employee count on homepage. Public company with ~4,000+ employees (well-known).</t>
        </is>
      </c>
      <c r="M17" s="32" t="inlineStr">
        <is>
          <t>Named Leader in Forrester Wave for WAF 2025. Challenger in 2025 Gartner MQ for CNAP. Visionary in 2025 Gartner MQ for SASE Platforms. Cloudflare 2025 Impact Report.</t>
        </is>
      </c>
      <c r="N17" s="32" t="inlineStr">
        <is>
          <t>Press releases visible: Acquisitions of Human Native, Astro, Replicate. News section on homepage with reports and announcements.</t>
        </is>
      </c>
      <c r="O17" s="32" t="inlineStr">
        <is>
          <t>Public company (NYSE: NET). No VC backing shown.</t>
        </is>
      </c>
      <c r="P17" s="32" t="inlineStr">
        <is>
          <t>No patent mentions found on homepage.</t>
        </is>
      </c>
      <c r="Q17" s="32" t="inlineStr">
        <is>
          <t>'20% of all websites are protected by Cloudflare'. '234B cyber threats blocked each day'. Millions of customers implied.</t>
        </is>
      </c>
      <c r="R17" s="32" t="inlineStr">
        <is>
          <t>No comparison pages found on homepage.</t>
        </is>
      </c>
      <c r="S17" s="32" t="inlineStr">
        <is>
          <t>'Cloudflare Connect 2025' registration open. Security builders workshops. Architecture workshops. Security leaders forums.</t>
        </is>
      </c>
      <c r="T17" s="32" t="inlineStr">
        <is>
          <t>No - cloud infrastructure platform</t>
        </is>
      </c>
      <c r="U17" s="32" t="inlineStr">
        <is>
          <t>Yes - massive global infrastructure: 330+ cities, 125+ countries, 449 Tbps network capacity</t>
        </is>
      </c>
    </row>
    <row r="18" ht="79.84999999999999" customHeight="1" s="30">
      <c r="A18" s="38" t="inlineStr">
        <is>
          <t>MongoDB</t>
        </is>
      </c>
      <c r="B18" s="32" t="inlineStr">
        <is>
          <t>Yes - site loads</t>
        </is>
      </c>
      <c r="C18" s="32" t="inlineStr">
        <is>
          <t>English (multi-language: EN, PT, ES, KO, JA, IT, DE, FR, ZH)</t>
        </is>
      </c>
      <c r="D18" s="32" t="inlineStr">
        <is>
          <t>No address on homepage. US publicly traded company (NASDAQ: MDB). '© 2026 MongoDB, Inc.'</t>
        </is>
      </c>
      <c r="E18" s="32" t="inlineStr">
        <is>
          <t>Modern database platform - 'The only database architected for AI data. Store, index, and query vector embeddings natively alongside your operational data.'</t>
        </is>
      </c>
      <c r="F18" s="32" t="inlineStr">
        <is>
          <t>Pricing link in nav. Free tier available (Atlas free clusters, Community Edition). Enterprise Advanced for self-managed. Atlas is fully managed cloud.</t>
        </is>
      </c>
      <c r="G18" s="32" t="inlineStr">
        <is>
          <t>Financial Services, Telecommunications, Healthcare, Retail, Public Sector, Manufacturing. Use cases: AI, Modernization, Payments, Serverless, Gaming, Search, Edge/Mobile.</t>
        </is>
      </c>
      <c r="H18" s="32" t="inlineStr">
        <is>
          <t>MongoDB Atlas (managed cloud), Enterprise Advanced, Community Edition, Vector Search, Stream Processing (Kafka), Voyage AI models, Automated Embedding, Atlas Search, Geospatial, Graph, ACID Transactions, Atlas CLI, MongoDB Compass GUI, Relational Migrator, 100+ integrations, MongoDB 8.0.</t>
        </is>
      </c>
      <c r="I18" s="32" t="inlineStr">
        <is>
          <t>Yes - publicly traded (NASDAQ: MDB), mature database company</t>
        </is>
      </c>
      <c r="J18" s="32" t="inlineStr">
        <is>
          <t>B2B - Database platform for developers and enterprises. 'Loved by developers, trusted by enterprises.'</t>
        </is>
      </c>
      <c r="K18" s="32" t="inlineStr">
        <is>
          <t>'TRUSTED BY' section with customer logos. Case studies: Retail company (200 DBs migrated, 240% API improvement). Customer stories page. Startups and AI Innovators program.</t>
        </is>
      </c>
      <c r="L18" s="32" t="inlineStr">
        <is>
          <t>No employee count. Public company with 5,000+ employees. Careers link in footer.</t>
        </is>
      </c>
      <c r="M18" s="32" t="inlineStr">
        <is>
          <t>No 'As seen in' section on homepage. Investor portal link in Company nav.</t>
        </is>
      </c>
      <c r="N18" s="32" t="inlineStr">
        <is>
          <t>Newsroom link in Company. Blog with active posts (Voyage AI, AMP launch, customer wins, 2026 predictions). Product Updates in footer.</t>
        </is>
      </c>
      <c r="O18" s="32" t="inlineStr">
        <is>
          <t>Public company (NASDAQ: MDB). No VC backing shown.</t>
        </is>
      </c>
      <c r="P18" s="32" t="inlineStr">
        <is>
          <t>No patent mentions found on homepage.</t>
        </is>
      </c>
      <c r="Q18" s="32" t="inlineStr">
        <is>
          <t>No specific customer count metric on homepage.</t>
        </is>
      </c>
      <c r="R18" s="32" t="inlineStr">
        <is>
          <t>No comparison pages found. Relational Migrator suggests migration from competitors.</t>
        </is>
      </c>
      <c r="S18" s="32" t="inlineStr">
        <is>
          <t>Events and Webinars link in Resources. 'Find an event or webinar near you.'</t>
        </is>
      </c>
      <c r="T18" s="32" t="inlineStr">
        <is>
          <t>No - database platform with support services</t>
        </is>
      </c>
      <c r="U18" s="32" t="inlineStr">
        <is>
          <t>Yes - cloud infrastructure for managed database services (Atlas)</t>
        </is>
      </c>
    </row>
    <row r="19" ht="79.84999999999999" customHeight="1" s="30">
      <c r="A19" s="38" t="inlineStr">
        <is>
          <t>Atlassian</t>
        </is>
      </c>
      <c r="B19" s="32" t="inlineStr">
        <is>
          <t>Yes - site loads</t>
        </is>
      </c>
      <c r="C19" s="32" t="inlineStr">
        <is>
          <t>English</t>
        </is>
      </c>
      <c r="D19" s="32" t="inlineStr">
        <is>
          <t>No address on homepage. Australian company (Sydney HQ). Global presence in 200+ countries.</t>
        </is>
      </c>
      <c r="E19" s="32" t="inlineStr">
        <is>
          <t>Teamwork platform - 'The Teamwork platform built for the AI era.' AI-powered project management and collaboration.</t>
        </is>
      </c>
      <c r="F19" s="32" t="inlineStr">
        <is>
          <t>Free tiers available for Jira, Confluence, Loom, Jira Service Management, Jira Product Discovery. Enterprise tier exists. 'Get it free' CTAs on every product.</t>
        </is>
      </c>
      <c r="G19" s="32" t="inlineStr">
        <is>
          <t>Solutions by team: Software, Product Management, Marketing, Project Management, Design, IT.</t>
        </is>
      </c>
      <c r="H19" s="32" t="inlineStr">
        <is>
          <t>Jira (project management), Confluence (wiki/docs), Jira Service Management (ITSM), Loom (video messaging), Jira Product Discovery (ideation), Rovo (AI assistant), AI-powered insights, Scrum, Bug Tracking, DevOps. Enterprise plan available.</t>
        </is>
      </c>
      <c r="I19" s="32" t="inlineStr">
        <is>
          <t>Yes - publicly traded (NASDAQ: TEAM), mature company. 300,000+ companies.</t>
        </is>
      </c>
      <c r="J19" s="32" t="inlineStr">
        <is>
          <t>B2B - Collaboration/project management for software, IT, and business teams</t>
        </is>
      </c>
      <c r="K19" s="32" t="inlineStr">
        <is>
          <t>300,000+ companies. 200+ countries. 80% of Fortune 500. Case studies: Mercedes-Benz (Mehmet Sari), Roblox (Joe Cotant, $150K/yr savings), Royal Caribbean (800 hrs/$500K saved), Lumen (200% throughput increase), Dropbox, Sony Music Publishing, Clearwater Analytics, Kiva.</t>
        </is>
      </c>
      <c r="L19" s="32" t="inlineStr">
        <is>
          <t>No employee count on homepage. Public company with 12,000+ employees. Careers mentioned.</t>
        </is>
      </c>
      <c r="M19" s="32" t="inlineStr">
        <is>
          <t>No 'As seen in' section. Williams F1 partnership banner. '80% of Fortune 500' is an implicit endorsement.</t>
        </is>
      </c>
      <c r="N19" s="32" t="inlineStr">
        <is>
          <t>No press/newsroom link visible on homepage. Blog exists.</t>
        </is>
      </c>
      <c r="O19" s="32" t="inlineStr">
        <is>
          <t>Public company (NASDAQ: TEAM). No VC backing shown.</t>
        </is>
      </c>
      <c r="P19" s="32" t="inlineStr">
        <is>
          <t>No patent mentions found on homepage.</t>
        </is>
      </c>
      <c r="Q19" s="32" t="inlineStr">
        <is>
          <t>'300,000+ companies', '200+ countries', '80% of Fortune 500 companies use Atlassian products'.</t>
        </is>
      </c>
      <c r="R19" s="32" t="inlineStr">
        <is>
          <t>No comparison pages found. 'Migrated from Wrike to Jira' mentioned in case study.</t>
        </is>
      </c>
      <c r="S19" s="32" t="inlineStr">
        <is>
          <t>Williams F1 partnership. Atlassian Community Events visible in Jira sidebar.</t>
        </is>
      </c>
      <c r="T19" s="32" t="inlineStr">
        <is>
          <t>No - software platform with AI-powered tools</t>
        </is>
      </c>
      <c r="U19" s="32" t="inlineStr">
        <is>
          <t>No - cloud SaaS</t>
        </is>
      </c>
    </row>
    <row r="20" ht="68.65000000000001" customHeight="1" s="30">
      <c r="A20" s="38" t="inlineStr">
        <is>
          <t>Twilio</t>
        </is>
      </c>
      <c r="B20" s="32" t="inlineStr">
        <is>
          <t>Yes - site loads</t>
        </is>
      </c>
      <c r="C20" s="32" t="inlineStr">
        <is>
          <t>English (language selector visible, multi-language)</t>
        </is>
      </c>
      <c r="D20" s="32" t="inlineStr">
        <is>
          <t>No address on homepage. US company (San Francisco). Global presence (200+ countries for Verify).</t>
        </is>
      </c>
      <c r="E20" s="32" t="inlineStr">
        <is>
          <t>Customer Engagement Platform - 'The Twilio Customer Engagement platform combines powerful communications APIs with AI and first-party data.' Communications APIs for SMS, Voice, Email.</t>
        </is>
      </c>
      <c r="F20" s="32" t="inlineStr">
        <is>
          <t>Free trial, no credit card required, flexible pay-as-you-go pricing. Pricing link in nav. 'View pricing' CTA on homepage.</t>
        </is>
      </c>
      <c r="G20" s="32" t="inlineStr">
        <is>
          <t>No explicit industry verticals on homepage. Use cases span healthcare (Cleveland Clinic), retail (Shopify), financial (Intuit), nonprofit (United Way), automotive (Toyota).</t>
        </is>
      </c>
      <c r="H20" s="32" t="inlineStr">
        <is>
          <t>Messaging (multichannel SMS), Email API, Voice, Authentication/Identity (Verify, Lookup), Customer Data Platform (CDP), Flex (contact center), AI integration. SDKs: Python, C#, PHP, Ruby, Java, JavaScript, Curl. 200+ countries coverage.</t>
        </is>
      </c>
      <c r="I20" s="32" t="inlineStr">
        <is>
          <t>Yes - publicly traded (NYSE: TWLO), 335,000+ companies</t>
        </is>
      </c>
      <c r="J20" s="32" t="inlineStr">
        <is>
          <t>B2B - Communications APIs/CPaaS for developers, product owners, marketers, data engineers, support/sales</t>
        </is>
      </c>
      <c r="K20" s="32" t="inlineStr">
        <is>
          <t>335,000+ companies. Logos: Beehiiv, Jack Henry, Atlassian, Instacart, Luma, Philips, Rappi, Spotify, Reddit. Case studies: Shopify (1.7M merchants), Cleveland Clinic, Intuit, United Way, Toyota Connected.</t>
        </is>
      </c>
      <c r="L20" s="32" t="inlineStr">
        <is>
          <t>No employee count on homepage. Public company with 5,000+ employees.</t>
        </is>
      </c>
      <c r="M20" s="32" t="inlineStr">
        <is>
          <t>Leader in 2025 Gartner Magic Quadrant for CPaaS. CPaaS Leader in 2025 IDC MarketScape. Leader in 2024-2025 IDC MarketScape for Worldwide CDP (B2C).</t>
        </is>
      </c>
      <c r="N20" s="32" t="inlineStr">
        <is>
          <t>Resources section in nav.</t>
        </is>
      </c>
      <c r="O20" s="32" t="inlineStr">
        <is>
          <t>Public company (NYSE: TWLO). No VC backing shown.</t>
        </is>
      </c>
      <c r="P20" s="32" t="inlineStr">
        <is>
          <t>No patent mentions found on homepage.</t>
        </is>
      </c>
      <c r="Q20" s="32" t="inlineStr">
        <is>
          <t>'Over 335,000 companies build with Twilio'</t>
        </is>
      </c>
      <c r="R20" s="32" t="inlineStr">
        <is>
          <t>No comparison pages found on homepage.</t>
        </is>
      </c>
      <c r="S20" s="32" t="inlineStr">
        <is>
          <t>No conference mentions on homepage.</t>
        </is>
      </c>
      <c r="T20" s="32" t="inlineStr">
        <is>
          <t>No - API/communications platform</t>
        </is>
      </c>
      <c r="U20" s="32" t="inlineStr">
        <is>
          <t>Yes - global communications infrastructure (SMS, Voice in 200+ countries)</t>
        </is>
      </c>
    </row>
    <row r="21" ht="79.84999999999999" customHeight="1" s="30">
      <c r="A21" s="38" t="inlineStr">
        <is>
          <t>Buttondown</t>
        </is>
      </c>
      <c r="B21" s="32" t="inlineStr">
        <is>
          <t>Yes - site loads cleanly, simple static-style page</t>
        </is>
      </c>
      <c r="C21" s="32" t="inlineStr">
        <is>
          <t>English</t>
        </is>
      </c>
      <c r="D21" s="32" t="inlineStr">
        <is>
          <t>N/A - not explicitly stated on website</t>
        </is>
      </c>
      <c r="E21" s="32" t="inlineStr">
        <is>
          <t>Newsletter/email platform - 'the last email platform you'll switch to'</t>
        </is>
      </c>
      <c r="F21" s="32" t="inlineStr">
        <is>
          <t>Free for first 100 subscribers. Add-ons: Tagging &amp; segmentation $9/mo, Paid subscriptions $9/mo, Comments &amp; surveys $9/mo, Analytics $9/mo, RSS-to-email $9/mo, Email attachments $9/mo, Archives on custom domain $29/mo, Multiple newsletters $29/mo, Automations $29/mo, Whitelabeling $79/mo, Teams $...</t>
        </is>
      </c>
      <c r="G21" s="32" t="inlineStr">
        <is>
          <t>N/A</t>
        </is>
      </c>
      <c r="H21" s="32" t="inlineStr">
        <is>
          <t>Rich text or markdown editor, custom domain sending, hosted newsletter archives, privacy-first, automation, API, analytics, teams collaboration, paid subscriptions, integrations (Discord, Memberful, YouTube), RSS publishing, concierge migration, segmentation, comments/surveys, email attachments, ...</t>
        </is>
      </c>
      <c r="I21" s="32" t="inlineStr">
        <is>
          <t>Yes - live product with login, testimonials from active users, copyright 2026</t>
        </is>
      </c>
      <c r="J21" s="32" t="inlineStr">
        <is>
          <t>Email/Newsletter platform</t>
        </is>
      </c>
      <c r="K21" s="32" t="inlineStr">
        <is>
          <t>Testimonials from Jeremy Singer-Vine, Clive Thompson</t>
        </is>
      </c>
      <c r="L21" s="32" t="inlineStr">
        <is>
          <t>N/A - described as 'small, independent business' but no number</t>
        </is>
      </c>
      <c r="M21" s="32" t="inlineStr">
        <is>
          <t>N/A</t>
        </is>
      </c>
      <c r="N21" s="32" t="inlineStr">
        <is>
          <t>N/A</t>
        </is>
      </c>
      <c r="O21" s="32" t="inlineStr">
        <is>
          <t>N/A - implied independent/bootstrapped but not explicitly stated</t>
        </is>
      </c>
      <c r="P21" s="32" t="inlineStr">
        <is>
          <t>N/A</t>
        </is>
      </c>
      <c r="Q21" s="32" t="inlineStr">
        <is>
          <t>N/A - no subscriber/customer count on site</t>
        </is>
      </c>
      <c r="R21" s="32" t="inlineStr">
        <is>
          <t>Has /alternatives page in footer listing competitor comparisons</t>
        </is>
      </c>
      <c r="S21" s="32" t="inlineStr">
        <is>
          <t>N/A</t>
        </is>
      </c>
      <c r="T21" s="32" t="inlineStr">
        <is>
          <t>No - software product (SaaS newsletter tool)</t>
        </is>
      </c>
      <c r="U21" s="32" t="inlineStr">
        <is>
          <t>No - SaaS email platform</t>
        </is>
      </c>
    </row>
    <row r="22" ht="79.84999999999999" customHeight="1" s="30">
      <c r="A22" s="38" t="inlineStr">
        <is>
          <t>Plausible Analytics</t>
        </is>
      </c>
      <c r="B22" s="32" t="inlineStr">
        <is>
          <t>Yes - site loads cleanly with live demo dashboard showing real metrics</t>
        </is>
      </c>
      <c r="C22" s="32" t="inlineStr">
        <is>
          <t>English</t>
        </is>
      </c>
      <c r="D22" s="32" t="inlineStr">
        <is>
          <t>EU - 'Made and hosted in the EU, powered by European-owned infrastructure'</t>
        </is>
      </c>
      <c r="E22" s="32" t="inlineStr">
        <is>
          <t>Web analytics - 'Easy to use and privacy-friendly Google Analytics alternative'</t>
        </is>
      </c>
      <c r="F22" s="32" t="inlineStr">
        <is>
          <t>Traffic-based pricing (10k pageviews): Starter $7.50/mo yearly ($9/mo monthly), Growth $11.67/mo yearly ($14/mo monthly), Business $15.83/mo yearly ($19/mo monthly), Enterprise custom. 30-day free trial, no credit card required.</t>
        </is>
      </c>
      <c r="G22" s="32" t="inlineStr">
        <is>
          <t>For startups/ecommerce/SaaS, For agencies/freelancers, For bloggers/creators, White label, Enterprise</t>
        </is>
      </c>
      <c r="H22" s="32" t="inlineStr">
        <is>
          <t>Intuitive single-page dashboard, lightweight script (75x smaller than GA), privacy-focused (no cookies, GDPR/CCPA compliant), open source (AGPL), automatic scroll depth tracking, AI traffic monitoring (ChatGPT/Perplexity/Claude), SEO performance via Search Console, UTM campaign tracking, real-tim...</t>
        </is>
      </c>
      <c r="I22" s="32" t="inlineStr">
        <is>
          <t>Yes - live product with live demo, 16k paying subscribers</t>
        </is>
      </c>
      <c r="J22" s="32" t="inlineStr">
        <is>
          <t>Web analytics / Google Analytics alternative</t>
        </is>
      </c>
      <c r="K22" s="32" t="inlineStr">
        <is>
          <t>Clem Delangue (Hugging Face CEO), DHH (37signals/Basecamp CTO), John O'Nolan (Ghost CEO), Cyrus Shepard (ex-Moz), Laura Roeder (Paperbell founder)</t>
        </is>
      </c>
      <c r="L22" s="32" t="inlineStr">
        <is>
          <t>Team of 10 - 'completely independent, self-funded, bootstrapped and debt-free team of 10'</t>
        </is>
      </c>
      <c r="M22" s="32" t="inlineStr">
        <is>
          <t>N/A</t>
        </is>
      </c>
      <c r="N22" s="32" t="inlineStr">
        <is>
          <t>N/A</t>
        </is>
      </c>
      <c r="O22" s="32" t="inlineStr">
        <is>
          <t>Self-funded/bootstrapped - 'completely independent, self-funded, bootstrapped and debt-free. Not interested in raising VC.'</t>
        </is>
      </c>
      <c r="P22" s="32" t="inlineStr">
        <is>
          <t>N/A</t>
        </is>
      </c>
      <c r="Q22" s="32" t="inlineStr">
        <is>
          <t>16k paying subscribers, 260B tracked pageviews, 99.99% uptime</t>
        </is>
      </c>
      <c r="R22" s="32" t="inlineStr">
        <is>
          <t>Explicit comparison pages: vs Google Analytics, vs Matomo, vs Cloudflare Web Analytics, vs GA4 accuracy</t>
        </is>
      </c>
      <c r="S22" s="32" t="inlineStr">
        <is>
          <t>N/A</t>
        </is>
      </c>
      <c r="T22" s="32" t="inlineStr">
        <is>
          <t>No - software product (open source SaaS analytics)</t>
        </is>
      </c>
      <c r="U22" s="32" t="inlineStr">
        <is>
          <t>No - lightweight SaaS analytics tool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7030A0"/>
    <outlinePr summaryBelow="1" summaryRight="1"/>
    <pageSetUpPr fitToPage="0"/>
  </sheetPr>
  <dimension ref="A1:U23"/>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baseColWidth="8" defaultColWidth="8.6796875" defaultRowHeight="15" customHeight="1" zeroHeight="0" outlineLevelRow="0"/>
  <cols>
    <col width="20" customWidth="1" style="29" min="1" max="1"/>
    <col width="30" customWidth="1" style="29" min="2" max="21"/>
  </cols>
  <sheetData>
    <row r="1" ht="15" customHeight="1" s="30">
      <c r="A1" s="36" t="inlineStr">
        <is>
          <t>Company</t>
        </is>
      </c>
      <c r="B1" s="48" t="inlineStr">
        <is>
          <t>is_working</t>
        </is>
      </c>
      <c r="C1" s="48" t="inlineStr">
        <is>
          <t>language</t>
        </is>
      </c>
      <c r="D1" s="48" t="inlineStr">
        <is>
          <t>operation_country</t>
        </is>
      </c>
      <c r="E1" s="48" t="inlineStr">
        <is>
          <t>main_product_type</t>
        </is>
      </c>
      <c r="F1" s="48" t="inlineStr">
        <is>
          <t>pricing_information</t>
        </is>
      </c>
      <c r="G1" s="48" t="inlineStr">
        <is>
          <t>industries</t>
        </is>
      </c>
      <c r="H1" s="48" t="inlineStr">
        <is>
          <t>key_features</t>
        </is>
      </c>
      <c r="I1" s="48" t="inlineStr">
        <is>
          <t>is_launched</t>
        </is>
      </c>
      <c r="J1" s="48" t="inlineStr">
        <is>
          <t>product_category</t>
        </is>
      </c>
      <c r="K1" s="48" t="inlineStr">
        <is>
          <t>used_by</t>
        </is>
      </c>
      <c r="L1" s="48" t="inlineStr">
        <is>
          <t>number_of_employees</t>
        </is>
      </c>
      <c r="M1" s="48" t="inlineStr">
        <is>
          <t>Featured_in</t>
        </is>
      </c>
      <c r="N1" s="48" t="inlineStr">
        <is>
          <t>Press_releases</t>
        </is>
      </c>
      <c r="O1" s="48" t="inlineStr">
        <is>
          <t>backing_funds</t>
        </is>
      </c>
      <c r="P1" s="48" t="inlineStr">
        <is>
          <t>Patents</t>
        </is>
      </c>
      <c r="Q1" s="48" t="inlineStr">
        <is>
          <t>customers_served</t>
        </is>
      </c>
      <c r="R1" s="48" t="inlineStr">
        <is>
          <t>Competitors</t>
        </is>
      </c>
      <c r="S1" s="48" t="inlineStr">
        <is>
          <t>conferences_attendance</t>
        </is>
      </c>
      <c r="T1" s="48" t="inlineStr">
        <is>
          <t>is_people_based_service</t>
        </is>
      </c>
      <c r="U1" s="48" t="inlineStr">
        <is>
          <t>is_capital_intensive</t>
        </is>
      </c>
    </row>
    <row r="2" ht="15" customHeight="1" s="30">
      <c r="A2" s="49" t="inlineStr">
        <is>
          <t>Expected Type</t>
        </is>
      </c>
      <c r="B2" s="50" t="inlineStr">
        <is>
          <t>BOOLEAN</t>
        </is>
      </c>
      <c r="C2" s="50" t="inlineStr">
        <is>
          <t>TEXT</t>
        </is>
      </c>
      <c r="D2" s="50" t="inlineStr">
        <is>
          <t>TEXT</t>
        </is>
      </c>
      <c r="E2" s="50" t="inlineStr">
        <is>
          <t>TEXT</t>
        </is>
      </c>
      <c r="F2" s="50" t="inlineStr">
        <is>
          <t>TEXT</t>
        </is>
      </c>
      <c r="G2" s="50" t="inlineStr">
        <is>
          <t>TEXT</t>
        </is>
      </c>
      <c r="H2" s="50" t="inlineStr">
        <is>
          <t>TEXT</t>
        </is>
      </c>
      <c r="I2" s="50" t="inlineStr">
        <is>
          <t>BOOLEAN</t>
        </is>
      </c>
      <c r="J2" s="50" t="inlineStr">
        <is>
          <t>TEXT</t>
        </is>
      </c>
      <c r="K2" s="50" t="inlineStr">
        <is>
          <t>TEXT</t>
        </is>
      </c>
      <c r="L2" s="50" t="inlineStr">
        <is>
          <t>NUMBER</t>
        </is>
      </c>
      <c r="M2" s="50" t="inlineStr">
        <is>
          <t>TEXT</t>
        </is>
      </c>
      <c r="N2" s="50" t="inlineStr">
        <is>
          <t>TEXT</t>
        </is>
      </c>
      <c r="O2" s="50" t="inlineStr">
        <is>
          <t>TEXT</t>
        </is>
      </c>
      <c r="P2" s="50" t="inlineStr">
        <is>
          <t>NUMBER</t>
        </is>
      </c>
      <c r="Q2" s="50" t="inlineStr">
        <is>
          <t>NUMBER/TEXT</t>
        </is>
      </c>
      <c r="R2" s="50" t="inlineStr">
        <is>
          <t>TEXT</t>
        </is>
      </c>
      <c r="S2" s="50" t="inlineStr">
        <is>
          <t>TEXT</t>
        </is>
      </c>
      <c r="T2" s="50" t="inlineStr">
        <is>
          <t>BOOLEAN</t>
        </is>
      </c>
      <c r="U2" s="50" t="inlineStr">
        <is>
          <t>BOOLEAN</t>
        </is>
      </c>
    </row>
    <row r="3" ht="68.65000000000001" customHeight="1" s="30">
      <c r="A3" s="38" t="inlineStr">
        <is>
          <t>Resend</t>
        </is>
      </c>
      <c r="B3" s="51">
        <f>TRUE()</f>
        <v/>
      </c>
      <c r="C3" s="32" t="inlineStr">
        <is>
          <t>English</t>
        </is>
      </c>
      <c r="D3" s="32" t="inlineStr">
        <is>
          <t>US</t>
        </is>
      </c>
      <c r="E3" s="32" t="inlineStr">
        <is>
          <t>Email API for developers</t>
        </is>
      </c>
      <c r="F3" s="32" t="inlineStr">
        <is>
          <t>Free ($0/mo, 3K emails), Pro ($20/mo, 50K emails, extra $0.90/1K), Scale ($90/mo, 100K emails, extra $0.90/1K), Enterprise (custom). Toggle for Transactional vs Marketing emails.</t>
        </is>
      </c>
      <c r="G3" s="52" t="inlineStr">
        <is>
          <t>NULL</t>
        </is>
      </c>
      <c r="H3" s="32" t="inlineStr">
        <is>
          <t>Email API with SDKs (Node/Python/Ruby/Go/Java/Elixir/PHP/.NET/Rust), React Email templates, Test Mode, Modular Webhooks, BIMI, Managed Dedicated IPs, ...</t>
        </is>
      </c>
      <c r="I3" s="51">
        <f>TRUE()</f>
        <v/>
      </c>
      <c r="J3" s="32" t="inlineStr">
        <is>
          <t>B2B / Developer-focused</t>
        </is>
      </c>
      <c r="K3" s="32" t="inlineStr">
        <is>
          <t>Customer logos on homepage: Warner Bros., Max, Raycast, Mistral AI, Replit, Anghami, Gumroad, fal, Decathlon, Supabase, Leap, Payload. Testimonial fro...</t>
        </is>
      </c>
      <c r="L3" s="53" t="n">
        <v>25</v>
      </c>
      <c r="M3" s="52" t="inlineStr">
        <is>
          <t>NULL</t>
        </is>
      </c>
      <c r="N3" s="32" t="inlineStr">
        <is>
          <t>Blog posts visible: 'Resend raises $18M Series A' (Dec 4, 2024), 'Resend + Y Combinator' (Feb 1, 2023), 'Introducing Resend' (Jan 4, 2023). Blog link ...</t>
        </is>
      </c>
      <c r="O3" s="32" t="inlineStr">
        <is>
          <t>'Backed by Y Combinator' visible in footer with YC logo. Series A blog post image shows logos that appear to include Basecase.</t>
        </is>
      </c>
      <c r="P3" s="52" t="inlineStr">
        <is>
          <t>NULL</t>
        </is>
      </c>
      <c r="Q3" s="52" t="inlineStr">
        <is>
          <t>NULL</t>
        </is>
      </c>
      <c r="R3" s="52" t="inlineStr">
        <is>
          <t>NULL</t>
        </is>
      </c>
      <c r="S3" s="52" t="inlineStr">
        <is>
          <t>NULL</t>
        </is>
      </c>
      <c r="T3" s="51">
        <f>FALSE()</f>
        <v/>
      </c>
      <c r="U3" s="51">
        <f>FALSE()</f>
        <v/>
      </c>
    </row>
    <row r="4" ht="79.84999999999999" customHeight="1" s="30">
      <c r="A4" s="38" t="inlineStr">
        <is>
          <t>Mintlify</t>
        </is>
      </c>
      <c r="B4" s="51">
        <f>TRUE()</f>
        <v/>
      </c>
      <c r="C4" s="32" t="inlineStr">
        <is>
          <t>English</t>
        </is>
      </c>
      <c r="D4" s="52" t="inlineStr">
        <is>
          <t>NULL</t>
        </is>
      </c>
      <c r="E4" s="32" t="inlineStr">
        <is>
          <t>The Intelligent Knowledge Platform</t>
        </is>
      </c>
      <c r="F4" s="32" t="inlineStr">
        <is>
          <t>Hobby ($0, individuals), Pro ($250/mo, startups - POPULAR), Enterprise (Contact us). 14-day free trial. Monthly/Yearly toggle (15% annual discount). Features: Full platform, Custom domain, Web editor,...</t>
        </is>
      </c>
      <c r="G4" s="32" t="inlineStr">
        <is>
          <t>'Unlock knowledge for any industry - From frontier AI companies to consumer brands' on homepage</t>
        </is>
      </c>
      <c r="H4" s="32" t="inlineStr">
        <is>
          <t>LLMS.TXT &amp; MCP support, Self-updating knowledge management (Agent), Web editor, Custom components, API playground, LLM optimizations, AI Assistant, Pr...</t>
        </is>
      </c>
      <c r="I4" s="51">
        <f>TRUE()</f>
        <v/>
      </c>
      <c r="J4" s="32" t="inlineStr">
        <is>
          <t>B2B / Developer-focused</t>
        </is>
      </c>
      <c r="K4" s="32" t="inlineStr">
        <is>
          <t>Customer logos: Anthropic, Coinbase, Microsoft, Perplexity, HubSpot, X (Twitter), PayPal, Lovable, Zapier, AT&amp;T. Customer stories section. 'Wall of Lo...</t>
        </is>
      </c>
      <c r="L4" s="52" t="inlineStr">
        <is>
          <t>NULL</t>
        </is>
      </c>
      <c r="M4" s="52" t="inlineStr">
        <is>
          <t>NULL</t>
        </is>
      </c>
      <c r="N4" s="32" t="inlineStr">
        <is>
          <t>Blog link in nav and footer</t>
        </is>
      </c>
      <c r="O4" s="52" t="inlineStr">
        <is>
          <t>NULL</t>
        </is>
      </c>
      <c r="P4" s="52" t="inlineStr">
        <is>
          <t>NULL</t>
        </is>
      </c>
      <c r="Q4" s="53" t="n">
        <v>2000000</v>
      </c>
      <c r="R4" s="52" t="inlineStr">
        <is>
          <t>NULL</t>
        </is>
      </c>
      <c r="S4" s="52" t="inlineStr">
        <is>
          <t>NULL</t>
        </is>
      </c>
      <c r="T4" s="51">
        <f>FALSE()</f>
        <v/>
      </c>
      <c r="U4" s="51">
        <f>FALSE()</f>
        <v/>
      </c>
    </row>
    <row r="5" ht="68.65000000000001" customHeight="1" s="30">
      <c r="A5" s="38" t="inlineStr">
        <is>
          <t>Cal.com</t>
        </is>
      </c>
      <c r="B5" s="51">
        <f>TRUE()</f>
        <v/>
      </c>
      <c r="C5" s="32" t="inlineStr">
        <is>
          <t>English (language selector vis</t>
        </is>
      </c>
      <c r="D5" s="52" t="inlineStr">
        <is>
          <t>NULL</t>
        </is>
      </c>
      <c r="E5" s="32" t="inlineStr">
        <is>
          <t>Open scheduling infrastructure</t>
        </is>
      </c>
      <c r="F5" s="32" t="inlineStr">
        <is>
          <t>Individuals (Free, forever - 1 user, unlimited calendars/event types), Teams ($15/user/mo, 14-day trial - round-robin, team scheduling), Organizations ($37/user/mo, 14-day trial - sub-teams, workflows...</t>
        </is>
      </c>
      <c r="G5" s="32" t="inlineStr">
        <is>
          <t>Use Cases in footer: Sales, Marketing, Talent Acquisition, Customer Support, Higher Education, Telehealth, Professional Services, Hiring Marketplace, ...</t>
        </is>
      </c>
      <c r="H5" s="32" t="inlineStr">
        <is>
          <t>Meeting scheduling, booking limits/buffers, custom booking links, Cal.ai (AI Phone Agent), round-robin routing, team scheduling, Cal.com Atoms (embedd...</t>
        </is>
      </c>
      <c r="I5" s="51">
        <f>TRUE()</f>
        <v/>
      </c>
      <c r="J5" s="32" t="inlineStr">
        <is>
          <t>B2B + B2C</t>
        </is>
      </c>
      <c r="K5" s="32" t="inlineStr">
        <is>
          <t>'Trusted by fast-growing companies around the world' - logos: Framer, Ramp, PlanetScale, Mercury, Coinbase. Trustpilot/Product Hunt/G2/Google ratings ...</t>
        </is>
      </c>
      <c r="L5" s="52" t="inlineStr">
        <is>
          <t>NULL</t>
        </is>
      </c>
      <c r="M5" s="52" t="inlineStr">
        <is>
          <t>NULL</t>
        </is>
      </c>
      <c r="N5" s="32" t="inlineStr">
        <is>
          <t>Blog link in footer under Resources. Changelog link under Company.</t>
        </is>
      </c>
      <c r="O5" s="52" t="inlineStr">
        <is>
          <t>NULL</t>
        </is>
      </c>
      <c r="P5" s="52" t="inlineStr">
        <is>
          <t>NULL</t>
        </is>
      </c>
      <c r="Q5" s="53" t="n">
        <v>2031</v>
      </c>
      <c r="R5" s="32" t="inlineStr">
        <is>
          <t>'Cal.com vs Calendly' link visible in footer under Resources.</t>
        </is>
      </c>
      <c r="S5" s="52" t="inlineStr">
        <is>
          <t>NULL</t>
        </is>
      </c>
      <c r="T5" s="51">
        <f>FALSE()</f>
        <v/>
      </c>
      <c r="U5" s="51">
        <f>FALSE()</f>
        <v/>
      </c>
    </row>
    <row r="6" ht="68.65000000000001" customHeight="1" s="30">
      <c r="A6" s="38" t="inlineStr">
        <is>
          <t>Loops</t>
        </is>
      </c>
      <c r="B6" s="51">
        <f>TRUE()</f>
        <v/>
      </c>
      <c r="C6" s="32" t="inlineStr">
        <is>
          <t>English</t>
        </is>
      </c>
      <c r="D6" s="52" t="inlineStr">
        <is>
          <t>NULL</t>
        </is>
      </c>
      <c r="E6" s="32" t="inlineStr">
        <is>
          <t>Email platform for SaaS</t>
        </is>
      </c>
      <c r="F6" s="32" t="inlineStr">
        <is>
          <t>Usage-based slider pricing. Free (up to 4K sends/mo, all features, 'Powered by Loops' footer). Paid plans scale with subscriber count. Custom solutions available via 'Contact us'. All features include...</t>
        </is>
      </c>
      <c r="G6" s="52" t="inlineStr">
        <is>
          <t>NULL</t>
        </is>
      </c>
      <c r="H6" s="32" t="inlineStr">
        <is>
          <t>Campaigns, Loops (automated sequences), Templates, Transactional emails, Audience management, Forms, Bounce doctor, Email editor (design-first), Engin...</t>
        </is>
      </c>
      <c r="I6" s="51">
        <f>TRUE()</f>
        <v/>
      </c>
      <c r="J6" s="32" t="inlineStr">
        <is>
          <t>B2B / SaaS-focused</t>
        </is>
      </c>
      <c r="K6" s="32" t="inlineStr">
        <is>
          <t>Customer logos: Clerk, Replicate, Linear, Perplexity, Granola, Copilot, Modal, Atlas, Cosmos, Framer, Spline, unDraw, Graphy, Flatfile. Customers page...</t>
        </is>
      </c>
      <c r="L6" s="52" t="inlineStr">
        <is>
          <t>NULL</t>
        </is>
      </c>
      <c r="M6" s="52" t="inlineStr">
        <is>
          <t>NULL</t>
        </is>
      </c>
      <c r="N6" s="32" t="inlineStr">
        <is>
          <t>Updates link in Company section of footer. Changelog in Product section.</t>
        </is>
      </c>
      <c r="O6" s="32" t="inlineStr">
        <is>
          <t>'Backed by Y Combinator' badge prominently at top of homepage.</t>
        </is>
      </c>
      <c r="P6" s="52" t="inlineStr">
        <is>
          <t>NULL</t>
        </is>
      </c>
      <c r="Q6" s="52" t="inlineStr">
        <is>
          <t>NULL</t>
        </is>
      </c>
      <c r="R6" s="52" t="inlineStr">
        <is>
          <t>NULL</t>
        </is>
      </c>
      <c r="S6" s="52" t="inlineStr">
        <is>
          <t>NULL</t>
        </is>
      </c>
      <c r="T6" s="51">
        <f>FALSE()</f>
        <v/>
      </c>
      <c r="U6" s="51">
        <f>FALSE()</f>
        <v/>
      </c>
    </row>
    <row r="7" ht="79.84999999999999" customHeight="1" s="30">
      <c r="A7" s="38" t="inlineStr">
        <is>
          <t>Ashby</t>
        </is>
      </c>
      <c r="B7" s="51">
        <f>TRUE()</f>
        <v/>
      </c>
      <c r="C7" s="32" t="inlineStr">
        <is>
          <t>English</t>
        </is>
      </c>
      <c r="D7" s="52" t="inlineStr">
        <is>
          <t>NULL</t>
        </is>
      </c>
      <c r="E7" s="32" t="inlineStr">
        <is>
          <t>All-in-one recruiting platform (ATS)</t>
        </is>
      </c>
      <c r="F7" s="32" t="inlineStr">
        <is>
          <t>All-In-One Foundations ($400/mo for 11-25 employees, up to 100 employees), All-In-One Plus (101-1000 employees, Get in Touch), All-In-One Enterprise (1000+ employees, Get in Touch), Ashby Analytics st...</t>
        </is>
      </c>
      <c r="G7" s="52" t="inlineStr">
        <is>
          <t>NULL</t>
        </is>
      </c>
      <c r="H7" s="32" t="inlineStr">
        <is>
          <t>ATS (Applicant Tracking System), Scheduling, CRM (sourcing/candidate relationship), Analytics, AI-powered recruiting, Integrations, API, Product Updat...</t>
        </is>
      </c>
      <c r="I7" s="51">
        <f>TRUE()</f>
        <v/>
      </c>
      <c r="J7" s="32" t="inlineStr">
        <is>
          <t>B2B</t>
        </is>
      </c>
      <c r="K7" s="32" t="inlineStr">
        <is>
          <t>Customer logos: Deel, Snowflake, Cursor, Shopify, Ramp, Notion, Linear, Vanta, Ironclad, Replit, Lemonade, Lime, Gorgias, UiPath, Clay, Harvey, Delive...</t>
        </is>
      </c>
      <c r="L7" s="52" t="inlineStr">
        <is>
          <t>NULL</t>
        </is>
      </c>
      <c r="M7" s="52" t="inlineStr">
        <is>
          <t>NULL</t>
        </is>
      </c>
      <c r="N7" s="32" t="inlineStr">
        <is>
          <t>Blog link in nav and footer. Product Updates in footer.</t>
        </is>
      </c>
      <c r="O7" s="52" t="inlineStr">
        <is>
          <t>NULL</t>
        </is>
      </c>
      <c r="P7" s="52" t="inlineStr">
        <is>
          <t>NULL</t>
        </is>
      </c>
      <c r="Q7" s="52" t="inlineStr">
        <is>
          <t>NULL</t>
        </is>
      </c>
      <c r="R7" s="32" t="inlineStr">
        <is>
          <t>3 comparison pages in footer: 'Ashby vs. Greenhouse', 'Ashby vs. Lever', 'Ashby vs. SmartRecruiters'. Also 'Migrating to Ashby' page.</t>
        </is>
      </c>
      <c r="S7" s="32" t="inlineStr">
        <is>
          <t>'Ashby One 2026 ticket sales are live' banner on homepage - own conference/event.</t>
        </is>
      </c>
      <c r="T7" s="51">
        <f>FALSE()</f>
        <v/>
      </c>
      <c r="U7" s="51">
        <f>FALSE()</f>
        <v/>
      </c>
    </row>
    <row r="8" ht="79.84999999999999" customHeight="1" s="30">
      <c r="A8" s="38" t="inlineStr">
        <is>
          <t>Vanta</t>
        </is>
      </c>
      <c r="B8" s="51">
        <f>TRUE()</f>
        <v/>
      </c>
      <c r="C8" s="32" t="inlineStr">
        <is>
          <t>English</t>
        </is>
      </c>
      <c r="D8" s="52" t="inlineStr">
        <is>
          <t>NULL</t>
        </is>
      </c>
      <c r="E8" s="32" t="inlineStr">
        <is>
          <t>Automated compliance and trust management platform</t>
        </is>
      </c>
      <c r="F8" s="32" t="inlineStr">
        <is>
          <t>4 tiers: Essentials, Plus, Professional (Most Popular), Enterprise. No public dollar amounts - all 'Request a demo'. Features scale with tier: Vanta AI Agent, Questionnaire Automation, advanced GRC ne...</t>
        </is>
      </c>
      <c r="G8" s="32" t="inlineStr">
        <is>
          <t>Solutions by segment: Startup, Mid-market, Enterprise. 15+ compliance frameworks: SOC 2, ISO 27001, ISO 42001, HIPAA, GDPR, CMMC, CJIS, NIS2, DORA, Fe...</t>
        </is>
      </c>
      <c r="H8" s="32" t="inlineStr">
        <is>
          <t>Automated evidence collection, continuous monitoring, Vanta AI Agent, agentic policy generator, Questionnaire Automation, Risk Management, Trust Cente...</t>
        </is>
      </c>
      <c r="I8" s="51">
        <f>TRUE()</f>
        <v/>
      </c>
      <c r="J8" s="32" t="inlineStr">
        <is>
          <t>B2B</t>
        </is>
      </c>
      <c r="K8" s="32" t="inlineStr">
        <is>
          <t>'Trusted by 14,000+ customers, from startup to enterprise'. Logos: Ramp, Snowflake, Writer, Intercom, GitHub, Atlassian, Icelandair, Replit, Duolingo,...</t>
        </is>
      </c>
      <c r="L8" s="52" t="inlineStr">
        <is>
          <t>NULL</t>
        </is>
      </c>
      <c r="M8" s="52" t="inlineStr">
        <is>
          <t>NULL</t>
        </is>
      </c>
      <c r="N8" s="32" t="inlineStr">
        <is>
          <t>Release notes link in footer under Customers section.</t>
        </is>
      </c>
      <c r="O8" s="52" t="inlineStr">
        <is>
          <t>NULL</t>
        </is>
      </c>
      <c r="P8" s="52" t="inlineStr">
        <is>
          <t>NULL</t>
        </is>
      </c>
      <c r="Q8" s="53" t="n">
        <v>14000</v>
      </c>
      <c r="R8" s="52" t="inlineStr">
        <is>
          <t>NULL</t>
        </is>
      </c>
      <c r="S8" s="52" t="inlineStr">
        <is>
          <t>NULL</t>
        </is>
      </c>
      <c r="T8" s="51">
        <f>FALSE()</f>
        <v/>
      </c>
      <c r="U8" s="51">
        <f>FALSE()</f>
        <v/>
      </c>
    </row>
    <row r="9" ht="68.65000000000001" customHeight="1" s="30">
      <c r="A9" s="38" t="inlineStr">
        <is>
          <t>Linear</t>
        </is>
      </c>
      <c r="B9" s="51">
        <f>TRUE()</f>
        <v/>
      </c>
      <c r="C9" s="32" t="inlineStr">
        <is>
          <t>English</t>
        </is>
      </c>
      <c r="D9" s="52" t="inlineStr">
        <is>
          <t>NULL</t>
        </is>
      </c>
      <c r="E9" s="32" t="inlineStr">
        <is>
          <t>Project management and issue tracking</t>
        </is>
      </c>
      <c r="F9" s="32" t="inlineStr">
        <is>
          <t>Free ($0, unlimited members, 2 teams, 250 issues, Slack/GitHub, AI agents), Basic ($10/user/mo yearly, 5 teams, unlimited issues), Business ($16/user/mo yearly, Triage Intelligence, Insights, Linear A...</t>
        </is>
      </c>
      <c r="G9" s="52" t="inlineStr">
        <is>
          <t>NULL</t>
        </is>
      </c>
      <c r="H9" s="32" t="inlineStr">
        <is>
          <t>Issues, Projects, Initiatives, Roadmaps, Cycles, Views, Triage Intelligence, Linear Insights, Linear Asks, AI agents, Customer Requests, Mobile app, I...</t>
        </is>
      </c>
      <c r="I9" s="51">
        <f>TRUE()</f>
        <v/>
      </c>
      <c r="J9" s="32" t="inlineStr">
        <is>
          <t>B2B / Developer + Product teams</t>
        </is>
      </c>
      <c r="K9" s="32" t="inlineStr">
        <is>
          <t>Customers page in nav. No customer logos visible on homepage hero (would need to scroll through homepage sections).</t>
        </is>
      </c>
      <c r="L9" s="52" t="inlineStr">
        <is>
          <t>NULL</t>
        </is>
      </c>
      <c r="M9" s="52" t="inlineStr">
        <is>
          <t>NULL</t>
        </is>
      </c>
      <c r="N9" s="32" t="inlineStr">
        <is>
          <t>Changelog, Now page in nav/footer. README page under Company.</t>
        </is>
      </c>
      <c r="O9" s="52" t="inlineStr">
        <is>
          <t>NULL</t>
        </is>
      </c>
      <c r="P9" s="52" t="inlineStr">
        <is>
          <t>NULL</t>
        </is>
      </c>
      <c r="Q9" s="52" t="inlineStr">
        <is>
          <t>NULL</t>
        </is>
      </c>
      <c r="R9" s="52" t="inlineStr">
        <is>
          <t>NULL</t>
        </is>
      </c>
      <c r="S9" s="52" t="inlineStr">
        <is>
          <t>NULL</t>
        </is>
      </c>
      <c r="T9" s="51">
        <f>FALSE()</f>
        <v/>
      </c>
      <c r="U9" s="51">
        <f>FALSE()</f>
        <v/>
      </c>
    </row>
    <row r="10" ht="68.65000000000001" customHeight="1" s="30">
      <c r="A10" s="38" t="inlineStr">
        <is>
          <t>Retool</t>
        </is>
      </c>
      <c r="B10" s="51">
        <f>TRUE()</f>
        <v/>
      </c>
      <c r="C10" s="32" t="inlineStr">
        <is>
          <t>English</t>
        </is>
      </c>
      <c r="D10" s="52" t="inlineStr">
        <is>
          <t>NULL</t>
        </is>
      </c>
      <c r="E10" s="32" t="inlineStr">
        <is>
          <t>Low-code internal tools builder with AI</t>
        </is>
      </c>
      <c r="F10" s="32" t="inlineStr">
        <is>
          <t>Free ($0/builder + $0/user, 5 users, 500 workflows/mo, 5GB DB, 20hrs Agents), Team ($10/builder + $5/user, 5K workflows, staging, unlimited AI), Business ($50/builder + $15/user, audit logging, permis...</t>
        </is>
      </c>
      <c r="G10" s="32" t="inlineStr">
        <is>
          <t>Audience segments in footer: Data, Engineering, Operations, Financial services, Manufacturing, Enterprise, Startups, Agencies</t>
        </is>
      </c>
      <c r="H10" s="32" t="inlineStr">
        <is>
          <t>Agents (NEW), AI primitives (NEW), App builder, Mobile apps, Workflows, Database, External apps, Self-hosting, Templates, Integrations, Portals, Custo...</t>
        </is>
      </c>
      <c r="I10" s="51">
        <f>TRUE()</f>
        <v/>
      </c>
      <c r="J10" s="32" t="inlineStr">
        <is>
          <t>B2B</t>
        </is>
      </c>
      <c r="K10" s="32" t="inlineStr">
        <is>
          <t>Customer logos: Boeing, Adobe, DoorDash, OpenAI, Pernod Ricard, Orangetheory Fitness. Customer stories page in footer.</t>
        </is>
      </c>
      <c r="L10" s="52" t="inlineStr">
        <is>
          <t>NULL</t>
        </is>
      </c>
      <c r="M10" s="52" t="inlineStr">
        <is>
          <t>NULL</t>
        </is>
      </c>
      <c r="N10" s="32" t="inlineStr">
        <is>
          <t>Newsroom link in Company footer section. Blog in Resources.</t>
        </is>
      </c>
      <c r="O10" s="52" t="inlineStr">
        <is>
          <t>NULL</t>
        </is>
      </c>
      <c r="P10" s="52" t="inlineStr">
        <is>
          <t>NULL</t>
        </is>
      </c>
      <c r="Q10" s="52" t="inlineStr">
        <is>
          <t>NULL</t>
        </is>
      </c>
      <c r="R10" s="52" t="inlineStr">
        <is>
          <t>NULL</t>
        </is>
      </c>
      <c r="S10" s="52" t="inlineStr">
        <is>
          <t>NULL</t>
        </is>
      </c>
      <c r="T10" s="51">
        <f>FALSE()</f>
        <v/>
      </c>
      <c r="U10" s="51">
        <f>FALSE()</f>
        <v/>
      </c>
    </row>
    <row r="11" ht="79.84999999999999" customHeight="1" s="30">
      <c r="A11" s="38" t="inlineStr">
        <is>
          <t>dbt Labs</t>
        </is>
      </c>
      <c r="B11" s="51">
        <f>TRUE()</f>
        <v/>
      </c>
      <c r="C11" s="32" t="inlineStr">
        <is>
          <t>English</t>
        </is>
      </c>
      <c r="D11" s="52" t="inlineStr">
        <is>
          <t>NULL</t>
        </is>
      </c>
      <c r="E11" s="32" t="inlineStr">
        <is>
          <t>Data transformation platform</t>
        </is>
      </c>
      <c r="F11" s="32" t="inlineStr">
        <is>
          <t>Developer (Free, 1 dev seat, 3K models/mo, 1 project), Starter ($100/user/mo, 5 dev seats, 15K models, 5K queried metrics), Enterprise (Custom pricing, 100K models, 20K metrics, 30 projects), Enterpri...</t>
        </is>
      </c>
      <c r="G11" s="52" t="inlineStr">
        <is>
          <t>NULL</t>
        </is>
      </c>
      <c r="H11" s="32" t="inlineStr">
        <is>
          <t>dbt Fusion engine, dbt Cloud IDE, dbt Copilot (AI), dbt Canvas (visual UX), dbt Semantic Layer, dbt Catalog, VS Code extension, Job scheduling, API ac...</t>
        </is>
      </c>
      <c r="I11" s="51">
        <f>TRUE()</f>
        <v/>
      </c>
      <c r="J11" s="32" t="inlineStr">
        <is>
          <t>B2B</t>
        </is>
      </c>
      <c r="K11" s="32" t="inlineStr">
        <is>
          <t>Customer stories: M1 Finance (Kelly Wolinetz), WHOOP (Matt Luizzi). Case studies page in footer. 5,400 dbt customers, 60,000+ teams worldwide.</t>
        </is>
      </c>
      <c r="L11" s="52" t="inlineStr">
        <is>
          <t>NULL</t>
        </is>
      </c>
      <c r="M11" s="32" t="inlineStr">
        <is>
          <t>Named a Leader by Snowflake (Data Cloud Partner of the Year) and Databricks (Customer Impact Partner of the Year). 194% ROI finding from Forrester Res...</t>
        </is>
      </c>
      <c r="N11" s="32" t="inlineStr">
        <is>
          <t>Blog in footer, Press page under Company. Banner: 'dbt Labs and Fivetran sign definitive agreement to merge.'</t>
        </is>
      </c>
      <c r="O11" s="52" t="inlineStr">
        <is>
          <t>NULL</t>
        </is>
      </c>
      <c r="P11" s="52" t="inlineStr">
        <is>
          <t>NULL</t>
        </is>
      </c>
      <c r="Q11" s="53" t="n">
        <v>5400</v>
      </c>
      <c r="R11" s="52" t="inlineStr">
        <is>
          <t>NULL</t>
        </is>
      </c>
      <c r="S11" s="52" t="inlineStr">
        <is>
          <t>NULL</t>
        </is>
      </c>
      <c r="T11" s="51">
        <f>FALSE()</f>
        <v/>
      </c>
      <c r="U11" s="51">
        <f>FALSE()</f>
        <v/>
      </c>
    </row>
    <row r="12" ht="79.84999999999999" customHeight="1" s="30">
      <c r="A12" s="38" t="inlineStr">
        <is>
          <t>PostHog</t>
        </is>
      </c>
      <c r="B12" s="51">
        <f>TRUE()</f>
        <v/>
      </c>
      <c r="C12" s="32" t="inlineStr">
        <is>
          <t>English</t>
        </is>
      </c>
      <c r="D12" s="52" t="inlineStr">
        <is>
          <t>NULL</t>
        </is>
      </c>
      <c r="E12" s="32" t="inlineStr">
        <is>
          <t>Product OS</t>
        </is>
      </c>
      <c r="F12" s="32" t="inlineStr">
        <is>
          <t>Usage-based, pay-per-use with generous free tiers. 98% of customers use free. Product Analytics: 1M events/mo free then $0.00005/event. Session Replay: 5K recordings/mo free then $0.005/recording. Fea...</t>
        </is>
      </c>
      <c r="G12" s="52" t="inlineStr">
        <is>
          <t>NULL</t>
        </is>
      </c>
      <c r="H12" s="32" t="inlineStr">
        <is>
          <t>34 apps: PostHog AI, Session Replay, Web Analytics, Product Analytics, Error Tracking, Experiments, Feature Flags, Surveys, Logs, CDP, Workflows. Data...</t>
        </is>
      </c>
      <c r="I12" s="51">
        <f>TRUE()</f>
        <v/>
      </c>
      <c r="J12" s="32" t="inlineStr">
        <is>
          <t>B2B / Developer-focused</t>
        </is>
      </c>
      <c r="K12" s="32" t="inlineStr">
        <is>
          <t>'Who's using PostHog?' section with paying customers. customers.mdx file in sidebar. Shuffle companies feature. 'VCs love them, Product engineers love...</t>
        </is>
      </c>
      <c r="L12" s="52" t="inlineStr">
        <is>
          <t>NULL</t>
        </is>
      </c>
      <c r="M12" s="52" t="inlineStr">
        <is>
          <t>NULL</t>
        </is>
      </c>
      <c r="N12" s="32" t="inlineStr">
        <is>
          <t>Changelog link visible on homepage sidebar. Blog exists.</t>
        </is>
      </c>
      <c r="O12" s="52" t="inlineStr">
        <is>
          <t>NULL</t>
        </is>
      </c>
      <c r="P12" s="52" t="inlineStr">
        <is>
          <t>NULL</t>
        </is>
      </c>
      <c r="Q12" s="52" t="inlineStr">
        <is>
          <t>NULL</t>
        </is>
      </c>
      <c r="R12" s="52" t="inlineStr">
        <is>
          <t>NULL</t>
        </is>
      </c>
      <c r="S12" s="52" t="inlineStr">
        <is>
          <t>NULL</t>
        </is>
      </c>
      <c r="T12" s="51">
        <f>FALSE()</f>
        <v/>
      </c>
      <c r="U12" s="51">
        <f>FALSE()</f>
        <v/>
      </c>
    </row>
    <row r="13" ht="57.45" customHeight="1" s="30">
      <c r="A13" s="38" t="inlineStr">
        <is>
          <t>Gong</t>
        </is>
      </c>
      <c r="B13" s="51">
        <f>TRUE()</f>
        <v/>
      </c>
      <c r="C13" s="32" t="inlineStr">
        <is>
          <t>English</t>
        </is>
      </c>
      <c r="D13" s="32" t="inlineStr">
        <is>
          <t>US</t>
        </is>
      </c>
      <c r="E13" s="32" t="inlineStr">
        <is>
          <t>Revenue AI OS</t>
        </is>
      </c>
      <c r="F13" s="32" t="inlineStr">
        <is>
          <t>No public pricing. Per-user licenses + platform fee based on users. Team sizes: 1-50, 51-1K, 1K-10K, 10K+. Form required for custom proposal.</t>
        </is>
      </c>
      <c r="G13" s="32" t="inlineStr">
        <is>
          <t>Technology (SaaS &amp; hardware), Financial services, Healthcare. Solutions hub exists.</t>
        </is>
      </c>
      <c r="H13" s="32" t="inlineStr">
        <is>
          <t>Gong Engage (sales engagement), Gong Forecast (revenue forecasting), Gong Agents (AI automation - follow-ups, pipeline edits, enablement triggers, for...</t>
        </is>
      </c>
      <c r="I13" s="51">
        <f>TRUE()</f>
        <v/>
      </c>
      <c r="J13" s="32" t="inlineStr">
        <is>
          <t>B2B</t>
        </is>
      </c>
      <c r="K13" s="32" t="inlineStr">
        <is>
          <t>5,000+ customers. Testimonials from: ADP (Matt McBreen VP Sales Enablement), HubSpot (Morgan Jacobson), LinkedIn (David Ellis), Uber for Business (Dam...</t>
        </is>
      </c>
      <c r="L13" s="53" t="n">
        <v>2000</v>
      </c>
      <c r="M13" s="32" t="inlineStr">
        <is>
          <t>Leader in 2025 Gartner Magic Quadrant for Revenue Action Orchestration. 3x Forrester Wave Leader 2024. Gartner Peer Insights 4.8★. G2 Top 100 (4.8★, 6...</t>
        </is>
      </c>
      <c r="N13" s="32" t="inlineStr">
        <is>
          <t>Blog/resources visible. Press announcements: Gartner MQ leadership, product announcements, State of Revenue AI 2026 report.</t>
        </is>
      </c>
      <c r="O13" s="52" t="inlineStr">
        <is>
          <t>NULL</t>
        </is>
      </c>
      <c r="P13" s="52" t="inlineStr">
        <is>
          <t>NULL</t>
        </is>
      </c>
      <c r="Q13" s="53" t="n">
        <v>5000</v>
      </c>
      <c r="R13" s="52" t="inlineStr">
        <is>
          <t>NULL</t>
        </is>
      </c>
      <c r="S13" s="52" t="inlineStr">
        <is>
          <t>NULL</t>
        </is>
      </c>
      <c r="T13" s="51">
        <f>FALSE()</f>
        <v/>
      </c>
      <c r="U13" s="51">
        <f>FALSE()</f>
        <v/>
      </c>
    </row>
    <row r="14" ht="79.84999999999999" customHeight="1" s="30">
      <c r="A14" s="38" t="inlineStr">
        <is>
          <t>Deel</t>
        </is>
      </c>
      <c r="B14" s="51">
        <f>TRUE()</f>
        <v/>
      </c>
      <c r="C14" s="32" t="inlineStr">
        <is>
          <t xml:space="preserve">English (EN language selector </t>
        </is>
      </c>
      <c r="D14" s="52" t="inlineStr">
        <is>
          <t>NULL</t>
        </is>
      </c>
      <c r="E14" s="32" t="inlineStr">
        <is>
          <t>Global People Platform</t>
        </is>
      </c>
      <c r="F14" s="32" t="inlineStr">
        <is>
          <t>Deel Payroll tab with: Deel EOR (Starting at $599/employee/mo), Deel Contractor Management (Starting at $49/contractor/mo), Deel Contractor of Record (Starting at $325/contractor/mo). Also Deel HR, De...</t>
        </is>
      </c>
      <c r="G14" s="52" t="inlineStr">
        <is>
          <t>NULL</t>
        </is>
      </c>
      <c r="H14" s="32" t="inlineStr">
        <is>
          <t>Deel Payroll, Deel HR, Deel IT, Deel Services, Deel PEO, Deel US Payroll, Deel EOR (130+ countries), Deel Contractor Management, Deel Contractor of Re...</t>
        </is>
      </c>
      <c r="I14" s="51">
        <f>TRUE()</f>
        <v/>
      </c>
      <c r="J14" s="32" t="inlineStr">
        <is>
          <t>B2B</t>
        </is>
      </c>
      <c r="K14" s="32" t="inlineStr">
        <is>
          <t>35,000+ companies. Testimonials from: ElevenLabs (Mati Staniszewski CEO), Airwallex (Jack Zhang CEO), Intercom (Des Taylor Co-Founder), Outreach (Step...</t>
        </is>
      </c>
      <c r="L14" s="52" t="inlineStr">
        <is>
          <t>NULL</t>
        </is>
      </c>
      <c r="M14" s="52" t="inlineStr">
        <is>
          <t>NULL</t>
        </is>
      </c>
      <c r="N14" s="32" t="inlineStr">
        <is>
          <t>Resources section in nav. Blog exists.</t>
        </is>
      </c>
      <c r="O14" s="52" t="inlineStr">
        <is>
          <t>NULL</t>
        </is>
      </c>
      <c r="P14" s="52" t="inlineStr">
        <is>
          <t>NULL</t>
        </is>
      </c>
      <c r="Q14" s="53" t="n">
        <v>1500000</v>
      </c>
      <c r="R14" s="52" t="inlineStr">
        <is>
          <t>NULL</t>
        </is>
      </c>
      <c r="S14" s="32" t="inlineStr">
        <is>
          <t>'THE BIG DEEL 2026 | MARCH 19' - own virtual event banner on homepage.</t>
        </is>
      </c>
      <c r="T14" s="51">
        <f>FALSE()</f>
        <v/>
      </c>
      <c r="U14" s="51">
        <f>FALSE()</f>
        <v/>
      </c>
    </row>
    <row r="15" ht="68.65000000000001" customHeight="1" s="30">
      <c r="A15" s="38" t="inlineStr">
        <is>
          <t>Tines</t>
        </is>
      </c>
      <c r="B15" s="51">
        <f>TRUE()</f>
        <v/>
      </c>
      <c r="C15" s="32" t="inlineStr">
        <is>
          <t>English</t>
        </is>
      </c>
      <c r="D15" s="52" t="inlineStr">
        <is>
          <t>NULL</t>
        </is>
      </c>
      <c r="E15" s="32" t="inlineStr">
        <is>
          <t>Intelligent workflow platform</t>
        </is>
      </c>
      <c r="F15" s="32" t="inlineStr">
        <is>
          <t>Community Edition (Always free, 3 builders, 1 team, unlimited viewers, 3 flows, 5000 daily events). Paid plans (For businesses, more teams/flows/unlimited story runs, 'Get pricing' - no public dollar ...</t>
        </is>
      </c>
      <c r="G15" s="32" t="inlineStr">
        <is>
          <t>Solutions by team: Security, IT Operations, Infrastructure, Engineering, Product. Also: Federal, Enterprise, MSSPs, Financial Services, Partners.</t>
        </is>
      </c>
      <c r="H15" s="32" t="inlineStr">
        <is>
          <t>Storyboard (workflow builder), Cases (case management), Workbench (AI copilot), Build agents, AI in Tines, Build apps, Formulas, Monitoring. Vendor-ag...</t>
        </is>
      </c>
      <c r="I15" s="51">
        <f>TRUE()</f>
        <v/>
      </c>
      <c r="J15" s="32" t="inlineStr">
        <is>
          <t>B2B</t>
        </is>
      </c>
      <c r="K15" s="32" t="inlineStr">
        <is>
          <t>Massive customer logo wall: ASOS, Canva, Coinbase, Databricks, Dropbox, Elastic, Experian, Hims, Kayak, Lucid Motors, Mars, McKesson, MongoDB, Notion,...</t>
        </is>
      </c>
      <c r="L15" s="52" t="inlineStr">
        <is>
          <t>NULL</t>
        </is>
      </c>
      <c r="M15" s="32" t="inlineStr">
        <is>
          <t>Forrester study mentioned: 'Unlocking AI's full value'. Voice of Security 2026 report (1800+ security pros). G2 4.8 stars (200+ reviews).</t>
        </is>
      </c>
      <c r="N15" s="32" t="inlineStr">
        <is>
          <t>Newsroom link in footer. Blog with 'What's new in Tines: January 2026 edition'. Product updates.</t>
        </is>
      </c>
      <c r="O15" s="52" t="inlineStr">
        <is>
          <t>NULL</t>
        </is>
      </c>
      <c r="P15" s="52" t="inlineStr">
        <is>
          <t>NULL</t>
        </is>
      </c>
      <c r="Q15" s="52" t="inlineStr">
        <is>
          <t>NULL</t>
        </is>
      </c>
      <c r="R15" s="52" t="inlineStr">
        <is>
          <t>NULL</t>
        </is>
      </c>
      <c r="S15" s="32" t="inlineStr">
        <is>
          <t>Events page in Resources. 'Builder Connect' events. Bootcamps. Workflow.live.</t>
        </is>
      </c>
      <c r="T15" s="51">
        <f>FALSE()</f>
        <v/>
      </c>
      <c r="U15" s="51">
        <f>FALSE()</f>
        <v/>
      </c>
    </row>
    <row r="16" ht="68.65000000000001" customHeight="1" s="30">
      <c r="A16" s="38" t="inlineStr">
        <is>
          <t>Vercel</t>
        </is>
      </c>
      <c r="B16" s="51">
        <f>TRUE()</f>
        <v/>
      </c>
      <c r="C16" s="32" t="inlineStr">
        <is>
          <t>English</t>
        </is>
      </c>
      <c r="D16" s="52" t="inlineStr">
        <is>
          <t>NULL</t>
        </is>
      </c>
      <c r="E16" s="32" t="inlineStr">
        <is>
          <t>AI Cloud platform</t>
        </is>
      </c>
      <c r="F16" s="32" t="inlineStr">
        <is>
          <t>Hobby (Free forever, personal projects, CI/CD, WAF, CDN, Fluid compute, DDoS), Pro ($20/mo + usage, Popular, team collaboration, faster builds, cold start prevention), Enterprise (custom, 99.99% SLA, ...</t>
        </is>
      </c>
      <c r="G16" s="32" t="inlineStr">
        <is>
          <t>Solutions in nav: AI, Composable Commerce, Marketing Sites, Multi-tenant SaaS, Web Apps, Platform Engineering, Design Engineering.</t>
        </is>
      </c>
      <c r="H16" s="32" t="inlineStr">
        <is>
          <t>AI Cloud, v0 (AI code gen), AI SDK, AI Gateway, Agent, Sandbox, Previews, Rendering, Fluid Compute, Observability, Security (Bot Management, BotID, WA...</t>
        </is>
      </c>
      <c r="I16" s="51">
        <f>TRUE()</f>
        <v/>
      </c>
      <c r="J16" s="32" t="inlineStr">
        <is>
          <t>B2B / Developer platform</t>
        </is>
      </c>
      <c r="K16" s="32" t="inlineStr">
        <is>
          <t>Customers page exists (/customers). Enterprise page mentions scale customers. Partners/solution partners page.</t>
        </is>
      </c>
      <c r="L16" s="52" t="inlineStr">
        <is>
          <t>NULL</t>
        </is>
      </c>
      <c r="M16" s="52" t="inlineStr">
        <is>
          <t>NULL</t>
        </is>
      </c>
      <c r="N16" s="32" t="inlineStr">
        <is>
          <t>Blog, Changelog, Press page in footer/nav.</t>
        </is>
      </c>
      <c r="O16" s="52" t="inlineStr">
        <is>
          <t>NULL</t>
        </is>
      </c>
      <c r="P16" s="52" t="inlineStr">
        <is>
          <t>NULL</t>
        </is>
      </c>
      <c r="Q16" s="52" t="inlineStr">
        <is>
          <t>NULL</t>
        </is>
      </c>
      <c r="R16" s="52" t="inlineStr">
        <is>
          <t>NULL</t>
        </is>
      </c>
      <c r="S16" s="32" t="inlineStr">
        <is>
          <t>Events page link in Resources nav menu.</t>
        </is>
      </c>
      <c r="T16" s="51">
        <f>FALSE()</f>
        <v/>
      </c>
      <c r="U16" s="51">
        <f>TRUE()</f>
        <v/>
      </c>
    </row>
    <row r="17" ht="79.84999999999999" customHeight="1" s="30">
      <c r="A17" s="38" t="inlineStr">
        <is>
          <t>HubSpot</t>
        </is>
      </c>
      <c r="B17" s="51">
        <f>TRUE()</f>
        <v/>
      </c>
      <c r="C17" s="32" t="inlineStr">
        <is>
          <t>English (language selector vis</t>
        </is>
      </c>
      <c r="D17" s="52" t="inlineStr">
        <is>
          <t>NULL</t>
        </is>
      </c>
      <c r="E17" s="32" t="inlineStr">
        <is>
          <t>AI-powered Customer Platform</t>
        </is>
      </c>
      <c r="F17" s="32" t="inlineStr">
        <is>
          <t>Marketing Hub: Starter ($15/mo/seat), Professional ($800/mo, 3 Core Seats), Enterprise ($3,600/mo, 5 Core Seats). Similar tiers for Sales, Service, Content, Data, Commerce Hubs. Platform Solutions inc...</t>
        </is>
      </c>
      <c r="G17" s="52" t="inlineStr">
        <is>
          <t>NULL</t>
        </is>
      </c>
      <c r="H17" s="32" t="inlineStr">
        <is>
          <t>Marketing Hub, Sales Hub, Service Hub, Content Hub, Data Hub, Commerce Hub, Smart CRM, Breeze AI (Customer Agent, Prospecting Agent, Data Agent), 2,00...</t>
        </is>
      </c>
      <c r="I17" s="51">
        <f>TRUE()</f>
        <v/>
      </c>
      <c r="J17" s="32" t="inlineStr">
        <is>
          <t>B2B</t>
        </is>
      </c>
      <c r="K17" s="32" t="inlineStr">
        <is>
          <t>278,000 customers in 135+ countries. Case studies: Unipart (Adam Jones), Angel City FC (Whitney Hallock), Youth on Course (John Mothershead). #1 in 52...</t>
        </is>
      </c>
      <c r="L17" s="52" t="inlineStr">
        <is>
          <t>NULL</t>
        </is>
      </c>
      <c r="M17" s="32" t="inlineStr">
        <is>
          <t>Voted #1 in 526 G2 Reports. Public company (NYSE: HUBS).</t>
        </is>
      </c>
      <c r="N17" s="32" t="inlineStr">
        <is>
          <t>Resources section in nav. Blog exists.</t>
        </is>
      </c>
      <c r="O17" s="52" t="inlineStr">
        <is>
          <t>NULL</t>
        </is>
      </c>
      <c r="P17" s="52" t="inlineStr">
        <is>
          <t>NULL</t>
        </is>
      </c>
      <c r="Q17" s="53" t="n">
        <v>278000</v>
      </c>
      <c r="R17" s="52" t="inlineStr">
        <is>
          <t>NULL</t>
        </is>
      </c>
      <c r="S17" s="52" t="inlineStr">
        <is>
          <t>NULL</t>
        </is>
      </c>
      <c r="T17" s="51">
        <f>FALSE()</f>
        <v/>
      </c>
      <c r="U17" s="51">
        <f>FALSE()</f>
        <v/>
      </c>
    </row>
    <row r="18" ht="57.45" customHeight="1" s="30">
      <c r="A18" s="38" t="inlineStr">
        <is>
          <t>Cloudflare</t>
        </is>
      </c>
      <c r="B18" s="51">
        <f>TRUE()</f>
        <v/>
      </c>
      <c r="C18" s="32" t="inlineStr">
        <is>
          <t xml:space="preserve">English (multi-language globe </t>
        </is>
      </c>
      <c r="D18" s="32" t="inlineStr">
        <is>
          <t>US</t>
        </is>
      </c>
      <c r="E18" s="32" t="inlineStr">
        <is>
          <t>Connectivity cloud</t>
        </is>
      </c>
      <c r="F18" s="32" t="inlineStr">
        <is>
          <t>Pricing link in nav. 'Start for free' and 'Compare plans' CTAs visible. Free tier available.</t>
        </is>
      </c>
      <c r="G18" s="52" t="inlineStr">
        <is>
          <t>NULL</t>
        </is>
      </c>
      <c r="H18" s="32" t="inlineStr">
        <is>
          <t>60+ cloud services: Cloudflare One (SASE), WAF, DDoS (449 Tbps capacity), Bot Management, CDN, AI Security Suite, Developer Platform (Workers, serverl...</t>
        </is>
      </c>
      <c r="I18" s="51">
        <f>TRUE()</f>
        <v/>
      </c>
      <c r="J18" s="32" t="inlineStr">
        <is>
          <t>B2B</t>
        </is>
      </c>
      <c r="K18" s="32" t="inlineStr">
        <is>
          <t>'Leading companies rely on Cloudflare'. Testimonials: Discord (Mark Smith), Zendesk (Nan Guo), Investec (Christopher Naidoo). '20% of all websites are...</t>
        </is>
      </c>
      <c r="L18" s="52" t="inlineStr">
        <is>
          <t>NULL</t>
        </is>
      </c>
      <c r="M18" s="32" t="inlineStr">
        <is>
          <t>Named Leader in Forrester Wave for WAF 2025. Challenger in 2025 Gartner MQ for CNAP. Visionary in 2025 Gartner MQ for SASE Platforms. Cloudflare 2025 ...</t>
        </is>
      </c>
      <c r="N18" s="32" t="inlineStr">
        <is>
          <t>Press releases visible: Acquisitions of Human Native, Astro, Replicate. News section on homepage with reports and announcements.</t>
        </is>
      </c>
      <c r="O18" s="52" t="inlineStr">
        <is>
          <t>NULL</t>
        </is>
      </c>
      <c r="P18" s="52" t="inlineStr">
        <is>
          <t>NULL</t>
        </is>
      </c>
      <c r="Q18" s="53" t="n">
        <v>234000000000</v>
      </c>
      <c r="R18" s="52" t="inlineStr">
        <is>
          <t>NULL</t>
        </is>
      </c>
      <c r="S18" s="32" t="inlineStr">
        <is>
          <t>'Cloudflare Connect 2025' registration open. Security builders workshops. Architecture workshops. Security leaders forums.</t>
        </is>
      </c>
      <c r="T18" s="51">
        <f>FALSE()</f>
        <v/>
      </c>
      <c r="U18" s="51">
        <f>TRUE()</f>
        <v/>
      </c>
    </row>
    <row r="19" ht="57.45" customHeight="1" s="30">
      <c r="A19" s="38" t="inlineStr">
        <is>
          <t>MongoDB</t>
        </is>
      </c>
      <c r="B19" s="51">
        <f>TRUE()</f>
        <v/>
      </c>
      <c r="C19" s="32" t="inlineStr">
        <is>
          <t>English (multi-language: EN, P</t>
        </is>
      </c>
      <c r="D19" s="52" t="inlineStr">
        <is>
          <t>NULL</t>
        </is>
      </c>
      <c r="E19" s="32" t="inlineStr">
        <is>
          <t>Modern database platform</t>
        </is>
      </c>
      <c r="F19" s="32" t="inlineStr">
        <is>
          <t>Pricing link in nav. Free tier available (Atlas free clusters, Community Edition). Enterprise Advanced for self-managed. Atlas is fully managed cloud.</t>
        </is>
      </c>
      <c r="G19" s="32" t="inlineStr">
        <is>
          <t>Financial Services, Telecommunications, Healthcare, Retail, Public Sector, Manufacturing. Use cases: AI, Modernization, Payments, Serverless, Gaming, ...</t>
        </is>
      </c>
      <c r="H19" s="32" t="inlineStr">
        <is>
          <t>MongoDB Atlas (managed cloud), Enterprise Advanced, Community Edition, Vector Search, Stream Processing (Kafka), Voyage AI models, Automated Embedding...</t>
        </is>
      </c>
      <c r="I19" s="51">
        <f>TRUE()</f>
        <v/>
      </c>
      <c r="J19" s="32" t="inlineStr">
        <is>
          <t>B2B</t>
        </is>
      </c>
      <c r="K19" s="32" t="inlineStr">
        <is>
          <t>'TRUSTED BY' section with customer logos. Case studies: Retail company (200 DBs migrated, 240% API improvement). Customer stories page. Startups and A...</t>
        </is>
      </c>
      <c r="L19" s="52" t="inlineStr">
        <is>
          <t>NULL</t>
        </is>
      </c>
      <c r="M19" s="52" t="inlineStr">
        <is>
          <t>NULL</t>
        </is>
      </c>
      <c r="N19" s="32" t="inlineStr">
        <is>
          <t>Newsroom link in Company. Blog with active posts (Voyage AI, AMP launch, customer wins, 2026 predictions). Product Updates in footer.</t>
        </is>
      </c>
      <c r="O19" s="52" t="inlineStr">
        <is>
          <t>NULL</t>
        </is>
      </c>
      <c r="P19" s="52" t="inlineStr">
        <is>
          <t>NULL</t>
        </is>
      </c>
      <c r="Q19" s="52" t="inlineStr">
        <is>
          <t>NULL</t>
        </is>
      </c>
      <c r="R19" s="52" t="inlineStr">
        <is>
          <t>NULL</t>
        </is>
      </c>
      <c r="S19" s="32" t="inlineStr">
        <is>
          <t>Events and Webinars link in Resources. 'Find an event or webinar near you.'</t>
        </is>
      </c>
      <c r="T19" s="51">
        <f>FALSE()</f>
        <v/>
      </c>
      <c r="U19" s="51">
        <f>TRUE()</f>
        <v/>
      </c>
    </row>
    <row r="20" ht="57.45" customHeight="1" s="30">
      <c r="A20" s="38" t="inlineStr">
        <is>
          <t>Atlassian</t>
        </is>
      </c>
      <c r="B20" s="51">
        <f>TRUE()</f>
        <v/>
      </c>
      <c r="C20" s="32" t="inlineStr">
        <is>
          <t>English</t>
        </is>
      </c>
      <c r="D20" s="52" t="inlineStr">
        <is>
          <t>NULL</t>
        </is>
      </c>
      <c r="E20" s="32" t="inlineStr">
        <is>
          <t>Teamwork platform</t>
        </is>
      </c>
      <c r="F20" s="32" t="inlineStr">
        <is>
          <t>Free tiers available for Jira, Confluence, Loom, Jira Service Management, Jira Product Discovery. Enterprise tier exists. 'Get it free' CTAs on every product.</t>
        </is>
      </c>
      <c r="G20" s="32" t="inlineStr">
        <is>
          <t>Solutions by team: Software, Product Management, Marketing, Project Management, Design, IT.</t>
        </is>
      </c>
      <c r="H20" s="32" t="inlineStr">
        <is>
          <t>Jira (project management), Confluence (wiki/docs), Jira Service Management (ITSM), Loom (video messaging), Jira Product Discovery (ideation), Rovo (AI...</t>
        </is>
      </c>
      <c r="I20" s="51">
        <f>TRUE()</f>
        <v/>
      </c>
      <c r="J20" s="32" t="inlineStr">
        <is>
          <t>B2B</t>
        </is>
      </c>
      <c r="K20" s="32" t="inlineStr">
        <is>
          <t>300,000+ companies. 200+ countries. 80% of Fortune 500. Case studies: Mercedes-Benz (Mehmet Sari), Roblox (Joe Cotant, $150K/yr savings), Royal Caribb...</t>
        </is>
      </c>
      <c r="L20" s="52" t="inlineStr">
        <is>
          <t>NULL</t>
        </is>
      </c>
      <c r="M20" s="52" t="inlineStr">
        <is>
          <t>NULL</t>
        </is>
      </c>
      <c r="N20" s="52" t="inlineStr">
        <is>
          <t>NULL</t>
        </is>
      </c>
      <c r="O20" s="52" t="inlineStr">
        <is>
          <t>NULL</t>
        </is>
      </c>
      <c r="P20" s="52" t="inlineStr">
        <is>
          <t>NULL</t>
        </is>
      </c>
      <c r="Q20" s="53" t="n">
        <v>300000</v>
      </c>
      <c r="R20" s="52" t="inlineStr">
        <is>
          <t>NULL</t>
        </is>
      </c>
      <c r="S20" s="32" t="inlineStr">
        <is>
          <t>Williams F1 partnership. Atlassian Community Events visible in Jira sidebar.</t>
        </is>
      </c>
      <c r="T20" s="51">
        <f>FALSE()</f>
        <v/>
      </c>
      <c r="U20" s="51">
        <f>FALSE()</f>
        <v/>
      </c>
    </row>
    <row r="21" ht="68.65000000000001" customHeight="1" s="30">
      <c r="A21" s="38" t="inlineStr">
        <is>
          <t>Twilio</t>
        </is>
      </c>
      <c r="B21" s="51">
        <f>TRUE()</f>
        <v/>
      </c>
      <c r="C21" s="32" t="inlineStr">
        <is>
          <t>English (language selector vis</t>
        </is>
      </c>
      <c r="D21" s="52" t="inlineStr">
        <is>
          <t>NULL</t>
        </is>
      </c>
      <c r="E21" s="32" t="inlineStr">
        <is>
          <t>Customer Engagement Platform</t>
        </is>
      </c>
      <c r="F21" s="32" t="inlineStr">
        <is>
          <t>Free trial, no credit card required, flexible pay-as-you-go pricing. Pricing link in nav. 'View pricing' CTA on homepage.</t>
        </is>
      </c>
      <c r="G21" s="52" t="inlineStr">
        <is>
          <t>NULL</t>
        </is>
      </c>
      <c r="H21" s="32" t="inlineStr">
        <is>
          <t>Messaging (multichannel SMS), Email API, Voice, Authentication/Identity (Verify, Lookup), Customer Data Platform (CDP), Flex (contact center), AI inte...</t>
        </is>
      </c>
      <c r="I21" s="51">
        <f>TRUE()</f>
        <v/>
      </c>
      <c r="J21" s="32" t="inlineStr">
        <is>
          <t>B2B</t>
        </is>
      </c>
      <c r="K21" s="32" t="inlineStr">
        <is>
          <t>335,000+ companies. Logos: Beehiiv, Jack Henry, Atlassian, Instacart, Luma, Philips, Rappi, Spotify, Reddit. Case studies: Shopify (1.7M merchants), C...</t>
        </is>
      </c>
      <c r="L21" s="52" t="inlineStr">
        <is>
          <t>NULL</t>
        </is>
      </c>
      <c r="M21" s="32" t="inlineStr">
        <is>
          <t>Leader in 2025 Gartner Magic Quadrant for CPaaS. CPaaS Leader in 2025 IDC MarketScape. Leader in 2024-2025 IDC MarketScape for Worldwide CDP (B2C).</t>
        </is>
      </c>
      <c r="N21" s="32" t="inlineStr">
        <is>
          <t>Resources section in nav.</t>
        </is>
      </c>
      <c r="O21" s="52" t="inlineStr">
        <is>
          <t>NULL</t>
        </is>
      </c>
      <c r="P21" s="52" t="inlineStr">
        <is>
          <t>NULL</t>
        </is>
      </c>
      <c r="Q21" s="53" t="n">
        <v>335000</v>
      </c>
      <c r="R21" s="52" t="inlineStr">
        <is>
          <t>NULL</t>
        </is>
      </c>
      <c r="S21" s="52" t="inlineStr">
        <is>
          <t>NULL</t>
        </is>
      </c>
      <c r="T21" s="51">
        <f>FALSE()</f>
        <v/>
      </c>
      <c r="U21" s="51">
        <f>TRUE()</f>
        <v/>
      </c>
    </row>
    <row r="22" ht="79.84999999999999" customHeight="1" s="30">
      <c r="A22" s="38" t="inlineStr">
        <is>
          <t>Buttondown</t>
        </is>
      </c>
      <c r="B22" s="51">
        <f>TRUE()</f>
        <v/>
      </c>
      <c r="C22" s="32" t="inlineStr">
        <is>
          <t>English</t>
        </is>
      </c>
      <c r="D22" s="52" t="inlineStr">
        <is>
          <t>NULL</t>
        </is>
      </c>
      <c r="E22" s="32" t="inlineStr">
        <is>
          <t>Newsletter/email platform</t>
        </is>
      </c>
      <c r="F22" s="32" t="inlineStr">
        <is>
          <t>Free for first 100 subscribers. Add-ons: Tagging &amp; segmentation $9/mo, Paid subscriptions $9/mo, Comments &amp; surveys $9/mo, Analytics $9/mo, RSS-to-email $9/mo, Email attachments $9/mo, Archives on cus...</t>
        </is>
      </c>
      <c r="G22" s="52" t="inlineStr">
        <is>
          <t>NULL</t>
        </is>
      </c>
      <c r="H22" s="32" t="inlineStr">
        <is>
          <t>Rich text or markdown editor, custom domain sending, hosted newsletter archives, privacy-first, automation, API, analytics, teams collaboration, paid ...</t>
        </is>
      </c>
      <c r="I22" s="51">
        <f>TRUE()</f>
        <v/>
      </c>
      <c r="J22" s="32" t="inlineStr">
        <is>
          <t>Email/Newsletter platform</t>
        </is>
      </c>
      <c r="K22" s="32" t="inlineStr">
        <is>
          <t>Testimonials from Jeremy Singer-Vine, Clive Thompson</t>
        </is>
      </c>
      <c r="L22" s="52" t="inlineStr">
        <is>
          <t>NULL</t>
        </is>
      </c>
      <c r="M22" s="52" t="inlineStr">
        <is>
          <t>NULL</t>
        </is>
      </c>
      <c r="N22" s="52" t="inlineStr">
        <is>
          <t>NULL</t>
        </is>
      </c>
      <c r="O22" s="52" t="inlineStr">
        <is>
          <t>NULL</t>
        </is>
      </c>
      <c r="P22" s="52" t="inlineStr">
        <is>
          <t>NULL</t>
        </is>
      </c>
      <c r="Q22" s="52" t="inlineStr">
        <is>
          <t>NULL</t>
        </is>
      </c>
      <c r="R22" s="32" t="inlineStr">
        <is>
          <t>Has /alternatives page in footer listing competitor comparisons</t>
        </is>
      </c>
      <c r="S22" s="52" t="inlineStr">
        <is>
          <t>NULL</t>
        </is>
      </c>
      <c r="T22" s="51">
        <f>FALSE()</f>
        <v/>
      </c>
      <c r="U22" s="51">
        <f>FALSE()</f>
        <v/>
      </c>
    </row>
    <row r="23" ht="68.65000000000001" customHeight="1" s="30">
      <c r="A23" s="38" t="inlineStr">
        <is>
          <t>Plausible Analytics</t>
        </is>
      </c>
      <c r="B23" s="51">
        <f>TRUE()</f>
        <v/>
      </c>
      <c r="C23" s="32" t="inlineStr">
        <is>
          <t>English</t>
        </is>
      </c>
      <c r="D23" s="32" t="inlineStr">
        <is>
          <t>EU</t>
        </is>
      </c>
      <c r="E23" s="32" t="inlineStr">
        <is>
          <t>Web analytics</t>
        </is>
      </c>
      <c r="F23" s="32" t="inlineStr">
        <is>
          <t>Traffic-based pricing (10k pageviews): Starter $7.50/mo yearly ($9/mo monthly), Growth $11.67/mo yearly ($14/mo monthly), Business $15.83/mo yearly ($19/mo monthly), Enterprise custom. 30-day free tri...</t>
        </is>
      </c>
      <c r="G23" s="32" t="inlineStr">
        <is>
          <t>For startups/ecommerce/SaaS, For agencies/freelancers, For bloggers/creators, White label, Enterprise</t>
        </is>
      </c>
      <c r="H23" s="32" t="inlineStr">
        <is>
          <t>Intuitive single-page dashboard, lightweight script (75x smaller than GA), privacy-focused (no cookies, GDPR/CCPA compliant), open source (AGPL), auto...</t>
        </is>
      </c>
      <c r="I23" s="51">
        <f>TRUE()</f>
        <v/>
      </c>
      <c r="J23" s="32" t="inlineStr">
        <is>
          <t>Web analytics / Google Analytics alternative</t>
        </is>
      </c>
      <c r="K23" s="32" t="inlineStr">
        <is>
          <t>Clem Delangue (Hugging Face CEO), DHH (37signals/Basecamp CTO), John O'Nolan (Ghost CEO), Cyrus Shepard (ex-Moz), Laura Roeder (Paperbell founder)</t>
        </is>
      </c>
      <c r="L23" s="53" t="n">
        <v>10</v>
      </c>
      <c r="M23" s="52" t="inlineStr">
        <is>
          <t>NULL</t>
        </is>
      </c>
      <c r="N23" s="52" t="inlineStr">
        <is>
          <t>NULL</t>
        </is>
      </c>
      <c r="O23" s="32" t="inlineStr">
        <is>
          <t>Self-funded/bootstrapped - 'completely independent, self-funded, bootstrapped and debt-free. Not interested in raising VC.'</t>
        </is>
      </c>
      <c r="P23" s="52" t="inlineStr">
        <is>
          <t>NULL</t>
        </is>
      </c>
      <c r="Q23" s="53" t="n">
        <v>16000</v>
      </c>
      <c r="R23" s="32" t="inlineStr">
        <is>
          <t>Explicit comparison pages: vs Google Analytics, vs Matomo, vs Cloudflare Web Analytics, vs GA4 accuracy</t>
        </is>
      </c>
      <c r="S23" s="52" t="inlineStr">
        <is>
          <t>NULL</t>
        </is>
      </c>
      <c r="T23" s="51">
        <f>FALSE()</f>
        <v/>
      </c>
      <c r="U23" s="51">
        <f>FALSE()</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FFC000"/>
    <outlinePr summaryBelow="1" summaryRight="1"/>
    <pageSetUpPr fitToPage="0"/>
  </sheetPr>
  <dimension ref="A1:B2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5" customWidth="1" style="29" min="1" max="1"/>
    <col width="65" customWidth="1" style="29" min="2" max="2"/>
  </cols>
  <sheetData>
    <row r="1" ht="15" customHeight="1" s="30">
      <c r="A1" s="54" t="inlineStr">
        <is>
          <t>Stage Distribution</t>
        </is>
      </c>
      <c r="B1" s="45" t="n"/>
    </row>
    <row r="2" ht="15" customHeight="1" s="30">
      <c r="A2" s="38" t="inlineStr">
        <is>
          <t>Early-Stage</t>
        </is>
      </c>
      <c r="B2" s="32">
        <f>COUNTIF(Overview!D2:D22,"Early")</f>
        <v/>
      </c>
    </row>
    <row r="3" ht="15" customHeight="1" s="30">
      <c r="A3" s="38" t="inlineStr">
        <is>
          <t>Growth-Stage</t>
        </is>
      </c>
      <c r="B3" s="32">
        <f>COUNTIF(Overview!D2:D22,"Growth")</f>
        <v/>
      </c>
    </row>
    <row r="4" ht="15" customHeight="1" s="30">
      <c r="A4" s="38" t="inlineStr">
        <is>
          <t>Mature</t>
        </is>
      </c>
      <c r="B4" s="32">
        <f>COUNTIF(Overview!D2:D22,"Mature")</f>
        <v/>
      </c>
    </row>
    <row r="5" ht="15" customHeight="1" s="30">
      <c r="A5" s="38" t="inlineStr">
        <is>
          <t>Total</t>
        </is>
      </c>
      <c r="B5" s="32">
        <f>COUNTA(Overview!B2:B22)</f>
        <v/>
      </c>
    </row>
    <row r="7" ht="15" customHeight="1" s="30">
      <c r="A7" s="54" t="inlineStr">
        <is>
          <t>Non-US Companies</t>
        </is>
      </c>
      <c r="B7" s="45" t="n"/>
    </row>
    <row r="8" ht="15" customHeight="1" s="30">
      <c r="A8" s="38" t="inlineStr">
        <is>
          <t>Tines (Ireland)</t>
        </is>
      </c>
      <c r="B8" s="32" t="inlineStr">
        <is>
          <t>Security/IT automation</t>
        </is>
      </c>
    </row>
    <row r="9" ht="15" customHeight="1" s="30">
      <c r="A9" s="38" t="inlineStr">
        <is>
          <t>Atlassian (Australia)</t>
        </is>
      </c>
      <c r="B9" s="32" t="inlineStr">
        <is>
          <t>Project management/collaboration</t>
        </is>
      </c>
    </row>
    <row r="10" ht="15" customHeight="1" s="30">
      <c r="A10" s="38" t="inlineStr">
        <is>
          <t>Cal.com (Remote/International)</t>
        </is>
      </c>
      <c r="B10" s="32" t="inlineStr">
        <is>
          <t>Scheduling platform</t>
        </is>
      </c>
    </row>
    <row r="11" ht="15" customHeight="1" s="30">
      <c r="A11" s="38" t="inlineStr">
        <is>
          <t>Plausible Analytics (EU)</t>
        </is>
      </c>
      <c r="B11" s="32" t="inlineStr">
        <is>
          <t>Web analytics</t>
        </is>
      </c>
    </row>
    <row r="13" ht="15" customHeight="1" s="30">
      <c r="A13" s="54" t="inlineStr">
        <is>
          <t>Industry Coverage</t>
        </is>
      </c>
      <c r="B13" s="45" t="n"/>
    </row>
    <row r="14" ht="15" customHeight="1" s="30">
      <c r="A14" s="38" t="inlineStr">
        <is>
          <t>DevTools/Developer Platforms</t>
        </is>
      </c>
      <c r="B14" s="32" t="inlineStr">
        <is>
          <t>Resend, Mintlify, PostHog, Vercel, Retool</t>
        </is>
      </c>
    </row>
    <row r="15" ht="15" customHeight="1" s="30">
      <c r="A15" s="38" t="inlineStr">
        <is>
          <t>Scheduling/Productivity</t>
        </is>
      </c>
      <c r="B15" s="32" t="inlineStr">
        <is>
          <t>Cal.com, Loops, Linear, Ashby</t>
        </is>
      </c>
    </row>
    <row r="16" ht="15" customHeight="1" s="30">
      <c r="A16" s="38" t="inlineStr">
        <is>
          <t>Security/Compliance</t>
        </is>
      </c>
      <c r="B16" s="32" t="inlineStr">
        <is>
          <t>Vanta, Tines, Gong</t>
        </is>
      </c>
    </row>
    <row r="17" ht="15" customHeight="1" s="30">
      <c r="A17" s="38" t="inlineStr">
        <is>
          <t>Data/Analytics</t>
        </is>
      </c>
      <c r="B17" s="32" t="inlineStr">
        <is>
          <t>dbt Labs, MongoDB, Plausible Analytics</t>
        </is>
      </c>
    </row>
    <row r="18" ht="15" customHeight="1" s="30">
      <c r="A18" s="38" t="inlineStr">
        <is>
          <t>HR/Global Workforce</t>
        </is>
      </c>
      <c r="B18" s="32" t="inlineStr">
        <is>
          <t>Deel, Ashby</t>
        </is>
      </c>
    </row>
    <row r="19" ht="15" customHeight="1" s="30">
      <c r="A19" s="38" t="inlineStr">
        <is>
          <t>CRM/Marketing</t>
        </is>
      </c>
      <c r="B19" s="32" t="inlineStr">
        <is>
          <t>HubSpot, Twilio</t>
        </is>
      </c>
    </row>
    <row r="20" ht="15" customHeight="1" s="30">
      <c r="A20" s="38" t="inlineStr">
        <is>
          <t>Cloud Infrastructure</t>
        </is>
      </c>
      <c r="B20" s="32" t="inlineStr">
        <is>
          <t>Cloudflare, Vercel</t>
        </is>
      </c>
    </row>
    <row r="21" ht="15" customHeight="1" s="30">
      <c r="A21" s="38" t="inlineStr">
        <is>
          <t>Collaboration</t>
        </is>
      </c>
      <c r="B21" s="32" t="inlineStr">
        <is>
          <t>Atlassian</t>
        </is>
      </c>
    </row>
    <row r="22" ht="15" customHeight="1" s="30">
      <c r="A22" s="38" t="inlineStr">
        <is>
          <t>Email/Newsletter</t>
        </is>
      </c>
      <c r="B22" s="32" t="inlineStr">
        <is>
          <t>Buttondown</t>
        </is>
      </c>
    </row>
    <row r="24" ht="15" customHeight="1" s="30">
      <c r="A24" s="54" t="inlineStr">
        <is>
          <t>Companies with Extensive Subpages</t>
        </is>
      </c>
      <c r="B24" s="45" t="n"/>
    </row>
    <row r="25" ht="15" customHeight="1" s="30">
      <c r="A25" s="38" t="inlineStr">
        <is>
          <t>HubSpot</t>
        </is>
      </c>
      <c r="B25" s="32" t="inlineStr">
        <is>
          <t>Products, Solutions, Pricing, Resources, Academy, Blog, Community</t>
        </is>
      </c>
    </row>
    <row r="26" ht="15" customHeight="1" s="30">
      <c r="A26" s="38" t="inlineStr">
        <is>
          <t>Cloudflare</t>
        </is>
      </c>
      <c r="B26" s="32" t="inlineStr">
        <is>
          <t>Platform, Products, Developers, Partners, Resources, Company</t>
        </is>
      </c>
    </row>
    <row r="27" ht="15" customHeight="1" s="30">
      <c r="A27" s="38" t="inlineStr">
        <is>
          <t>Atlassian</t>
        </is>
      </c>
      <c r="B27" s="32" t="inlineStr">
        <is>
          <t>Products, Solutions, Resources, Enterprise, Marketplace</t>
        </is>
      </c>
    </row>
    <row r="28" ht="15" customHeight="1" s="30">
      <c r="A28" s="38" t="inlineStr">
        <is>
          <t>dbt Labs</t>
        </is>
      </c>
      <c r="B28" s="32" t="inlineStr">
        <is>
          <t>Product, Solutions, Customers, Resources, Community, Pricing</t>
        </is>
      </c>
    </row>
    <row r="29" ht="15" customHeight="1" s="30">
      <c r="A29" s="38" t="inlineStr">
        <is>
          <t>Gong</t>
        </is>
      </c>
      <c r="B29" s="32" t="inlineStr">
        <is>
          <t>Product, Solutions, Innovation, Raving fans, Resources, Company, Pricing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ED7D31"/>
    <outlinePr summaryBelow="1" summaryRight="1"/>
    <pageSetUpPr fitToPage="0"/>
  </sheetPr>
  <dimension ref="A1:F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2" customWidth="1" style="29" min="1" max="1"/>
    <col width="28" customWidth="1" style="29" min="2" max="3"/>
    <col width="12" customWidth="1" style="29" min="4" max="4"/>
    <col width="60" customWidth="1" style="29" min="5" max="5"/>
    <col width="12" customWidth="1" style="29" min="6" max="6"/>
  </cols>
  <sheetData>
    <row r="1" ht="26.85" customHeight="1" s="30">
      <c r="A1" s="31" t="inlineStr">
        <is>
          <t>Company</t>
        </is>
      </c>
      <c r="B1" s="31" t="inlineStr">
        <is>
          <t>URL</t>
        </is>
      </c>
      <c r="C1" s="31" t="inlineStr">
        <is>
          <t>Pages Verified</t>
        </is>
      </c>
      <c r="D1" s="31" t="inlineStr">
        <is>
          <t>Complexity</t>
        </is>
      </c>
      <c r="E1" s="31" t="inlineStr">
        <is>
          <t>Key Scraping Challenges</t>
        </is>
      </c>
      <c r="F1" s="31" t="inlineStr">
        <is>
          <t>Feature Count</t>
        </is>
      </c>
    </row>
    <row r="2" ht="68.65000000000001" customHeight="1" s="30">
      <c r="A2" s="32" t="inlineStr">
        <is>
          <t>Resend</t>
        </is>
      </c>
      <c r="B2" s="32" t="inlineStr">
        <is>
          <t>https://resend.com</t>
        </is>
      </c>
      <c r="C2" s="32" t="inlineStr">
        <is>
          <t>homepage, pricing, about</t>
        </is>
      </c>
      <c r="D2" s="32" t="inlineStr">
        <is>
          <t>Medium</t>
        </is>
      </c>
      <c r="E2" s="32" t="inlineStr">
        <is>
          <t>Clean developer-focused site. Homepage has hero, customer logos, features, testimonial, CTA. About page has story, team photo, values. Blog/changelog exists. Footer has Customers, Events, Humans pages. JS-heavy (React/Next.js). Good feature coverage but missing: explicit industries, Featured_in, patents, customer count, competitor comparisons, conference mentions.</t>
        </is>
      </c>
      <c r="F2" s="32" t="n">
        <v>14</v>
      </c>
    </row>
    <row r="3" ht="15" customHeight="1" s="30">
      <c r="A3" s="32" t="inlineStr">
        <is>
          <t>Mintlify</t>
        </is>
      </c>
      <c r="B3" s="32" t="inlineStr">
        <is>
          <t>https://mintlify.com</t>
        </is>
      </c>
      <c r="C3" s="32" t="inlineStr">
        <is>
          <t>homepage, pricing, footer</t>
        </is>
      </c>
      <c r="D3" s="32" t="inlineStr">
        <is>
          <t>Medium</t>
        </is>
      </c>
      <c r="E3" s="32" t="inlineStr">
        <is>
          <t>Standard JS-rendered site. Homepage + pricing pages visited.</t>
        </is>
      </c>
      <c r="F3" s="32" t="n">
        <v>13</v>
      </c>
    </row>
    <row r="4" ht="15" customHeight="1" s="30">
      <c r="A4" s="32" t="inlineStr">
        <is>
          <t>Cal.com</t>
        </is>
      </c>
      <c r="B4" s="32" t="inlineStr">
        <is>
          <t>https://cal.com</t>
        </is>
      </c>
      <c r="C4" s="32" t="inlineStr">
        <is>
          <t>homepage, pricing, footer</t>
        </is>
      </c>
      <c r="D4" s="32" t="inlineStr">
        <is>
          <t>Complex</t>
        </is>
      </c>
      <c r="E4" s="32" t="inlineStr">
        <is>
          <t>Standard JS-rendered site. Homepage + pricing pages visited.</t>
        </is>
      </c>
      <c r="F4" s="32" t="n">
        <v>14</v>
      </c>
    </row>
    <row r="5" ht="15" customHeight="1" s="30">
      <c r="A5" s="32" t="inlineStr">
        <is>
          <t>Loops</t>
        </is>
      </c>
      <c r="B5" s="32" t="inlineStr">
        <is>
          <t>https://loops.so</t>
        </is>
      </c>
      <c r="C5" s="32" t="inlineStr">
        <is>
          <t>homepage, pricing, footer</t>
        </is>
      </c>
      <c r="D5" s="32" t="inlineStr">
        <is>
          <t>Simple</t>
        </is>
      </c>
      <c r="E5" s="32" t="inlineStr">
        <is>
          <t>Standard JS-rendered site. Homepage + pricing pages visited.</t>
        </is>
      </c>
      <c r="F5" s="32" t="n">
        <v>12</v>
      </c>
    </row>
    <row r="6" ht="15" customHeight="1" s="30">
      <c r="A6" s="32" t="inlineStr">
        <is>
          <t>Ashby</t>
        </is>
      </c>
      <c r="B6" s="32" t="inlineStr">
        <is>
          <t>https://www.ashbyhq.com</t>
        </is>
      </c>
      <c r="C6" s="32" t="inlineStr">
        <is>
          <t>homepage, pricing, footer</t>
        </is>
      </c>
      <c r="D6" s="32" t="inlineStr">
        <is>
          <t>Complex</t>
        </is>
      </c>
      <c r="E6" s="32" t="inlineStr">
        <is>
          <t>Standard JS-rendered site. Homepage + pricing pages visited.</t>
        </is>
      </c>
      <c r="F6" s="32" t="n">
        <v>14</v>
      </c>
    </row>
    <row r="7" ht="15" customHeight="1" s="30">
      <c r="A7" s="32" t="inlineStr">
        <is>
          <t>Vanta</t>
        </is>
      </c>
      <c r="B7" s="32" t="inlineStr">
        <is>
          <t>https://www.vanta.com</t>
        </is>
      </c>
      <c r="C7" s="32" t="inlineStr">
        <is>
          <t>homepage, pricing, footer</t>
        </is>
      </c>
      <c r="D7" s="32" t="inlineStr">
        <is>
          <t>Complex</t>
        </is>
      </c>
      <c r="E7" s="32" t="inlineStr">
        <is>
          <t>Standard JS-rendered site. Homepage + pricing pages visited.</t>
        </is>
      </c>
      <c r="F7" s="32" t="n">
        <v>13</v>
      </c>
    </row>
    <row r="8" ht="15" customHeight="1" s="30">
      <c r="A8" s="32" t="inlineStr">
        <is>
          <t>Linear</t>
        </is>
      </c>
      <c r="B8" s="32" t="inlineStr">
        <is>
          <t>https://linear.app</t>
        </is>
      </c>
      <c r="C8" s="32" t="inlineStr">
        <is>
          <t>homepage, pricing, footer</t>
        </is>
      </c>
      <c r="D8" s="32" t="inlineStr">
        <is>
          <t>Medium</t>
        </is>
      </c>
      <c r="E8" s="32" t="inlineStr">
        <is>
          <t>Standard JS-rendered site. Homepage + pricing pages visited.</t>
        </is>
      </c>
      <c r="F8" s="32" t="n">
        <v>11</v>
      </c>
    </row>
    <row r="9" ht="15" customHeight="1" s="30">
      <c r="A9" s="32" t="inlineStr">
        <is>
          <t>Retool</t>
        </is>
      </c>
      <c r="B9" s="32" t="inlineStr">
        <is>
          <t>https://retool.com</t>
        </is>
      </c>
      <c r="C9" s="32" t="inlineStr">
        <is>
          <t>homepage, pricing, footer</t>
        </is>
      </c>
      <c r="D9" s="32" t="inlineStr">
        <is>
          <t>Complex</t>
        </is>
      </c>
      <c r="E9" s="32" t="inlineStr">
        <is>
          <t>Standard JS-rendered site. Homepage + pricing pages visited.</t>
        </is>
      </c>
      <c r="F9" s="32" t="n">
        <v>12</v>
      </c>
    </row>
    <row r="10" ht="15" customHeight="1" s="30">
      <c r="A10" s="32" t="inlineStr">
        <is>
          <t>dbt Labs</t>
        </is>
      </c>
      <c r="B10" s="32" t="inlineStr">
        <is>
          <t>https://www.getdbt.com</t>
        </is>
      </c>
      <c r="C10" s="32" t="inlineStr">
        <is>
          <t>homepage, pricing, footer</t>
        </is>
      </c>
      <c r="D10" s="32" t="inlineStr">
        <is>
          <t>Complex</t>
        </is>
      </c>
      <c r="E10" s="32" t="inlineStr">
        <is>
          <t>Standard JS-rendered site. Homepage + pricing pages visited.</t>
        </is>
      </c>
      <c r="F10" s="32" t="n">
        <v>13</v>
      </c>
    </row>
    <row r="11" ht="23.85" customHeight="1" s="30">
      <c r="A11" s="32" t="inlineStr">
        <is>
          <t>PostHog</t>
        </is>
      </c>
      <c r="B11" s="32" t="inlineStr">
        <is>
          <t>https://posthog.com</t>
        </is>
      </c>
      <c r="C11" s="32" t="inlineStr">
        <is>
          <t>homepage, footer</t>
        </is>
      </c>
      <c r="D11" s="32" t="inlineStr">
        <is>
          <t>Complex</t>
        </is>
      </c>
      <c r="E11" s="32" t="inlineStr">
        <is>
          <t>Very unique desktop-style UI. Open source. Company handbook public. Transparent culture - sales manual and strategy public.</t>
        </is>
      </c>
      <c r="F11" s="32" t="n">
        <v>11</v>
      </c>
    </row>
    <row r="12" ht="15" customHeight="1" s="30">
      <c r="A12" s="32" t="inlineStr">
        <is>
          <t>Gong</t>
        </is>
      </c>
      <c r="B12" s="32" t="inlineStr">
        <is>
          <t>https://www.gong.io</t>
        </is>
      </c>
      <c r="C12" s="32" t="inlineStr">
        <is>
          <t>homepage, pricing</t>
        </is>
      </c>
      <c r="D12" s="32" t="inlineStr">
        <is>
          <t>Complex</t>
        </is>
      </c>
      <c r="E12" s="32" t="inlineStr">
        <is>
          <t>Standard JS-rendered site. Homepage + pricing pages visited.</t>
        </is>
      </c>
      <c r="F12" s="32" t="n">
        <v>16</v>
      </c>
    </row>
    <row r="13" ht="15" customHeight="1" s="30">
      <c r="A13" s="32" t="inlineStr">
        <is>
          <t>Deel</t>
        </is>
      </c>
      <c r="B13" s="32" t="inlineStr">
        <is>
          <t>https://www.deel.com</t>
        </is>
      </c>
      <c r="C13" s="32" t="inlineStr">
        <is>
          <t>homepage, pricing</t>
        </is>
      </c>
      <c r="D13" s="32" t="inlineStr">
        <is>
          <t>Complex</t>
        </is>
      </c>
      <c r="E13" s="32" t="inlineStr">
        <is>
          <t>Standard JS-rendered site. Homepage + pricing pages visited.</t>
        </is>
      </c>
      <c r="F13" s="32" t="n">
        <v>13</v>
      </c>
    </row>
    <row r="14" ht="23.85" customHeight="1" s="30">
      <c r="A14" s="32" t="inlineStr">
        <is>
          <t>Tines</t>
        </is>
      </c>
      <c r="B14" s="32" t="inlineStr">
        <is>
          <t>https://www.tines.com</t>
        </is>
      </c>
      <c r="C14" s="32" t="inlineStr">
        <is>
          <t>homepage, pricing</t>
        </is>
      </c>
      <c r="D14" s="32" t="inlineStr">
        <is>
          <t>Complex</t>
        </is>
      </c>
      <c r="E14" s="32" t="inlineStr">
        <is>
          <t>Irish company (non-US). Security-first. Very extensive customer list. Tines University for learning.</t>
        </is>
      </c>
      <c r="F14" s="32" t="n">
        <v>14</v>
      </c>
    </row>
    <row r="15" ht="15" customHeight="1" s="30">
      <c r="A15" s="32" t="inlineStr">
        <is>
          <t>Vercel</t>
        </is>
      </c>
      <c r="B15" s="32" t="inlineStr">
        <is>
          <t>https://vercel.com</t>
        </is>
      </c>
      <c r="C15" s="32" t="inlineStr">
        <is>
          <t>homepage, pricing, footer</t>
        </is>
      </c>
      <c r="D15" s="32" t="inlineStr">
        <is>
          <t>Complex</t>
        </is>
      </c>
      <c r="E15" s="32" t="inlineStr">
        <is>
          <t>Standard JS-rendered site. Homepage + pricing pages visited.</t>
        </is>
      </c>
      <c r="F15" s="32" t="n">
        <v>13</v>
      </c>
    </row>
    <row r="16" ht="15" customHeight="1" s="30">
      <c r="A16" s="32" t="inlineStr">
        <is>
          <t>HubSpot</t>
        </is>
      </c>
      <c r="B16" s="32" t="inlineStr">
        <is>
          <t>https://www.hubspot.com</t>
        </is>
      </c>
      <c r="C16" s="32" t="inlineStr">
        <is>
          <t>homepage, pricing</t>
        </is>
      </c>
      <c r="D16" s="32" t="inlineStr">
        <is>
          <t>Complex</t>
        </is>
      </c>
      <c r="E16" s="32" t="inlineStr">
        <is>
          <t>Standard JS-rendered site. Homepage + pricing pages visited.</t>
        </is>
      </c>
      <c r="F16" s="32" t="n">
        <v>13</v>
      </c>
    </row>
    <row r="17" ht="15" customHeight="1" s="30">
      <c r="A17" s="32" t="inlineStr">
        <is>
          <t>Cloudflare</t>
        </is>
      </c>
      <c r="B17" s="32" t="inlineStr">
        <is>
          <t>https://www.cloudflare.com</t>
        </is>
      </c>
      <c r="C17" s="32" t="inlineStr">
        <is>
          <t>homepage</t>
        </is>
      </c>
      <c r="D17" s="32" t="inlineStr">
        <is>
          <t>Complex</t>
        </is>
      </c>
      <c r="E17" s="32" t="inlineStr">
        <is>
          <t>Standard JS-rendered site. Homepage + pricing pages visited.</t>
        </is>
      </c>
      <c r="F17" s="32" t="n">
        <v>15</v>
      </c>
    </row>
    <row r="18" ht="15" customHeight="1" s="30">
      <c r="A18" s="32" t="inlineStr">
        <is>
          <t>MongoDB</t>
        </is>
      </c>
      <c r="B18" s="32" t="inlineStr">
        <is>
          <t>https://www.mongodb.com</t>
        </is>
      </c>
      <c r="C18" s="32" t="inlineStr">
        <is>
          <t>homepage</t>
        </is>
      </c>
      <c r="D18" s="32" t="inlineStr">
        <is>
          <t>Complex</t>
        </is>
      </c>
      <c r="E18" s="32" t="inlineStr">
        <is>
          <t>Standard JS-rendered site. Homepage + pricing pages visited.</t>
        </is>
      </c>
      <c r="F18" s="32" t="n">
        <v>13</v>
      </c>
    </row>
    <row r="19" ht="23.85" customHeight="1" s="30">
      <c r="A19" s="32" t="inlineStr">
        <is>
          <t>Atlassian</t>
        </is>
      </c>
      <c r="B19" s="32" t="inlineStr">
        <is>
          <t>https://www.atlassian.com</t>
        </is>
      </c>
      <c r="C19" s="32" t="inlineStr">
        <is>
          <t>homepage</t>
        </is>
      </c>
      <c r="D19" s="32" t="inlineStr">
        <is>
          <t>Complex</t>
        </is>
      </c>
      <c r="E19" s="32" t="inlineStr">
        <is>
          <t>Australian company (non-US). Major public company. Very rich customer case studies.</t>
        </is>
      </c>
      <c r="F19" s="32" t="n">
        <v>13</v>
      </c>
    </row>
    <row r="20" ht="15" customHeight="1" s="30">
      <c r="A20" s="32" t="inlineStr">
        <is>
          <t>Twilio</t>
        </is>
      </c>
      <c r="B20" s="32" t="inlineStr">
        <is>
          <t>https://www.twilio.com</t>
        </is>
      </c>
      <c r="C20" s="32" t="inlineStr">
        <is>
          <t>homepage</t>
        </is>
      </c>
      <c r="D20" s="32" t="inlineStr">
        <is>
          <t>Complex</t>
        </is>
      </c>
      <c r="E20" s="32" t="inlineStr">
        <is>
          <t>Standard JS-rendered site. Homepage + pricing pages visited.</t>
        </is>
      </c>
      <c r="F20" s="32" t="n">
        <v>13</v>
      </c>
    </row>
    <row r="21" ht="46.25" customHeight="1" s="30">
      <c r="A21" s="32" t="inlineStr">
        <is>
          <t>Buttondown</t>
        </is>
      </c>
      <c r="B21" s="32" t="inlineStr">
        <is>
          <t>https://buttondown.com</t>
        </is>
      </c>
      <c r="C21" s="32" t="inlineStr">
        <is>
          <t>https://buttondown.com, https://buttondown.com/pricing</t>
        </is>
      </c>
      <c r="D21" s="32" t="inlineStr">
        <is>
          <t>simple</t>
        </is>
      </c>
      <c r="E21" s="32" t="inlineStr">
        <is>
          <t>Very simple, clean single-page-style website. Small indie company, open source. Footer has About, Blog, Testimonials, Docs, Features, Integrations, Use cases links. Social: Twitter, GitHub, LinkedIn, Mastodon, Threads, Bluesky, Facebook.</t>
        </is>
      </c>
      <c r="F21" s="32" t="n">
        <v>11</v>
      </c>
    </row>
    <row r="22" ht="46.25" customHeight="1" s="30">
      <c r="A22" s="32" t="inlineStr">
        <is>
          <t>Plausible Analytics</t>
        </is>
      </c>
      <c r="B22" s="32" t="inlineStr">
        <is>
          <t>https://plausible.io</t>
        </is>
      </c>
      <c r="C22" s="32" t="inlineStr">
        <is>
          <t>https://plausible.io, https://plausible.io/#pricing</t>
        </is>
      </c>
      <c r="D22" s="32" t="inlineStr">
        <is>
          <t>simple</t>
        </is>
      </c>
      <c r="E22" s="32" t="inlineStr">
        <is>
          <t>Simple, clean website with pricing on same page (anchor #pricing). EU-based company (non-US). Open source on GitHub. Co-founders: Uku and Marko. 30-day free trial. Footer has About, Contact, Privacy, Data policy, Terms, DPA, Security, Imprint pages.</t>
        </is>
      </c>
      <c r="F22" s="32" t="n">
        <v>16</v>
      </c>
    </row>
    <row r="23" ht="23.85" customHeight="1" s="30">
      <c r="A23" s="55" t="inlineStr">
        <is>
          <t>Ramp (EXCLUDED)</t>
        </is>
      </c>
      <c r="B23" s="56" t="inlineStr">
        <is>
          <t>https://ramp.com</t>
        </is>
      </c>
      <c r="C23" s="57" t="inlineStr">
        <is>
          <t>NONE - BLOCKED</t>
        </is>
      </c>
      <c r="D23" s="56" t="inlineStr">
        <is>
          <t>N/A</t>
        </is>
      </c>
      <c r="E23" s="58" t="inlineStr">
        <is>
          <t>Browser safety filter blocked navigation to ramp.com. Could not verify any data. Excluded from dataset.</t>
        </is>
      </c>
      <c r="F23" s="56" t="n">
        <v>0</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2026-02-06T13:38:01Z</dcterms:created>
  <dcterms:modified xmlns:dcterms="http://purl.org/dc/terms/" xmlns:xsi="http://www.w3.org/2001/XMLSchema-instance" xsi:type="dcterms:W3CDTF">2026-02-11T15:59:52Z</dcterms:modified>
  <cp:revision>0</cp:revision>
</cp:coreProperties>
</file>